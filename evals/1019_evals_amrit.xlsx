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ndp\emphasis_markov\evals\"/>
    </mc:Choice>
  </mc:AlternateContent>
  <xr:revisionPtr revIDLastSave="0" documentId="13_ncr:1_{E68316FB-FDDD-4616-87E8-B37CC5F0CA0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Metrics" sheetId="1" r:id="rId1"/>
    <sheet name="Structural Fidel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D19" i="2"/>
  <c r="E19" i="2"/>
  <c r="B19" i="2"/>
  <c r="D18" i="2" a="1"/>
  <c r="D18" i="2" s="1"/>
  <c r="F6" i="2"/>
  <c r="E18" i="2" s="1" a="1"/>
  <c r="E18" i="2" s="1"/>
  <c r="J20" i="2"/>
  <c r="M20" i="2"/>
  <c r="N20" i="2"/>
  <c r="I20" i="2"/>
  <c r="J21" i="2"/>
  <c r="K21" i="2"/>
  <c r="L21" i="2"/>
  <c r="M21" i="2"/>
  <c r="N21" i="2"/>
  <c r="I21" i="2"/>
  <c r="C39" i="2"/>
  <c r="D39" i="2"/>
  <c r="E39" i="2"/>
  <c r="B39" i="2"/>
  <c r="F7" i="2"/>
  <c r="F8" i="2"/>
  <c r="F9" i="2"/>
  <c r="F10" i="2"/>
  <c r="F11" i="2"/>
  <c r="F12" i="2"/>
  <c r="F13" i="2"/>
  <c r="F14" i="2"/>
  <c r="F15" i="2"/>
  <c r="F16" i="2"/>
  <c r="N19" i="2"/>
  <c r="J19" i="2"/>
  <c r="K19" i="2"/>
  <c r="K20" i="2" s="1"/>
  <c r="L19" i="2"/>
  <c r="L20" i="2" s="1"/>
  <c r="M19" i="2"/>
  <c r="I19" i="2"/>
  <c r="C18" i="2" l="1" a="1"/>
  <c r="C18" i="2" s="1"/>
  <c r="F18" i="2"/>
  <c r="B18" i="2" a="1"/>
  <c r="B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<sst xmlns="http://schemas.openxmlformats.org/spreadsheetml/2006/main" count="76" uniqueCount="47">
  <si>
    <t>Unique Tags (%)</t>
  </si>
  <si>
    <t>Vocab Size</t>
  </si>
  <si>
    <t>Phrase Length</t>
  </si>
  <si>
    <t>Rules Broken</t>
  </si>
  <si>
    <t>Full Model</t>
  </si>
  <si>
    <t>Tags-Only</t>
  </si>
  <si>
    <t>Emphasis-Only</t>
  </si>
  <si>
    <t>Base Model</t>
  </si>
  <si>
    <t>Comparison</t>
  </si>
  <si>
    <t>P-Value</t>
  </si>
  <si>
    <t>Full Model vs. Base Model</t>
  </si>
  <si>
    <t>Full Model vs. Tags-Only</t>
  </si>
  <si>
    <t>Full Model vs. Emphasis-Only</t>
  </si>
  <si>
    <t>Tags-Only vs. Base Model</t>
  </si>
  <si>
    <t>Tags-Only vs. Emphasis-Only</t>
  </si>
  <si>
    <t>Emphasis-Only vs. Base Model</t>
  </si>
  <si>
    <t>Mean Metrics</t>
  </si>
  <si>
    <t>Standard Deviation of Metrics</t>
  </si>
  <si>
    <t>Vocab Size T-Test P-Values</t>
  </si>
  <si>
    <t>Note 0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</si>
  <si>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</si>
  <si>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</si>
  <si>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</si>
  <si>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</si>
  <si>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</si>
  <si>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</si>
  <si>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</si>
  <si>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</si>
  <si>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</si>
  <si>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</si>
  <si>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Note 11</t>
  </si>
  <si>
    <t>Note 12</t>
  </si>
  <si>
    <t>Note 13</t>
  </si>
  <si>
    <t>Note 14</t>
  </si>
  <si>
    <t>full vs base</t>
  </si>
  <si>
    <t>full vs tags</t>
  </si>
  <si>
    <t>full vs emphasis</t>
  </si>
  <si>
    <t>tags vs emphasis</t>
  </si>
  <si>
    <t>tags vs base</t>
  </si>
  <si>
    <t>emphasis vs base</t>
  </si>
  <si>
    <t>Note</t>
  </si>
  <si>
    <t>Raw Distance Values (Lower is Better)</t>
  </si>
  <si>
    <t>Standard Deviations of Distance</t>
  </si>
  <si>
    <t>Structural Fidelity T-Test P-Values</t>
  </si>
  <si>
    <t>p &lt; 0.001</t>
  </si>
  <si>
    <t>p &lt; 0.0083</t>
  </si>
  <si>
    <t>p &gt; 0.0083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</si>
</sst>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4ED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I9" sqref="I9"/>
    </sheetView>
  </sheetViews>
  <sheetFormatPr defaultRowHeight="14.4" x14ac:dyDescent="0.3"/>
  <cols>
    <col min="1" max="6" width="12.77734375" customWidth="1"/>
    <col min="7" max="7" width="21.21875" customWidth="1"/>
    <col min="8" max="9" width="12.77734375" customWidth="1"/>
  </cols>
  <sheetData>
    <row r="1" spans="1:8" x14ac:dyDescent="0.3">
      <c r="A1" t="s">
        <v>16</v>
      </c>
      <c r="G1" t="s">
        <v>18</v>
      </c>
    </row>
    <row r="2" spans="1:8" x14ac:dyDescent="0.3">
      <c r="B2" s="1" t="s">
        <v>0</v>
      </c>
      <c r="C2" s="1" t="s">
        <v>1</v>
      </c>
      <c r="D2" s="1" t="s">
        <v>2</v>
      </c>
      <c r="E2" s="1" t="s">
        <v>3</v>
      </c>
      <c r="G2" s="1" t="s">
        <v>8</v>
      </c>
      <c r="H2" s="1" t="s">
        <v>9</v>
      </c>
    </row>
    <row r="3" spans="1:8" x14ac:dyDescent="0.3">
      <c r="A3" s="1" t="s">
        <v>4</v>
      </c>
      <c r="B3">
        <v>100</v>
      </c>
      <c r="C3">
        <v>123.51</v>
      </c>
      <c r="D3">
        <v>6.732000000000002</v>
      </c>
      <c r="E3">
        <v>0.1</v>
      </c>
      <c r="G3" t="s">
        <v>10</v>
      </c>
      <c r="H3">
        <v>2.9845935528398709E-103</v>
      </c>
    </row>
    <row r="4" spans="1:8" x14ac:dyDescent="0.3">
      <c r="A4" s="1" t="s">
        <v>5</v>
      </c>
      <c r="B4">
        <v>100</v>
      </c>
      <c r="C4">
        <v>107.35</v>
      </c>
      <c r="D4">
        <v>4.7885</v>
      </c>
      <c r="E4">
        <v>0</v>
      </c>
      <c r="G4" t="s">
        <v>11</v>
      </c>
      <c r="H4">
        <v>1.651326483454759E-24</v>
      </c>
    </row>
    <row r="5" spans="1:8" x14ac:dyDescent="0.3">
      <c r="A5" s="1" t="s">
        <v>6</v>
      </c>
      <c r="B5">
        <v>69.696969696969774</v>
      </c>
      <c r="C5">
        <v>129.79</v>
      </c>
      <c r="D5">
        <v>5.1686046511627914</v>
      </c>
      <c r="E5">
        <v>0.82</v>
      </c>
      <c r="G5" t="s">
        <v>12</v>
      </c>
      <c r="H5">
        <v>4.6267340085992417E-5</v>
      </c>
    </row>
    <row r="6" spans="1:8" x14ac:dyDescent="0.3">
      <c r="A6" s="1" t="s">
        <v>7</v>
      </c>
      <c r="B6">
        <v>69.696969696969774</v>
      </c>
      <c r="C6">
        <v>214.39</v>
      </c>
      <c r="D6">
        <v>7.1967441860465096</v>
      </c>
      <c r="E6">
        <v>0.92</v>
      </c>
      <c r="G6" t="s">
        <v>13</v>
      </c>
      <c r="H6">
        <v>8.2362811450999336E-106</v>
      </c>
    </row>
    <row r="7" spans="1:8" x14ac:dyDescent="0.3">
      <c r="G7" t="s">
        <v>14</v>
      </c>
      <c r="H7">
        <v>5.0625656592631602E-41</v>
      </c>
    </row>
    <row r="8" spans="1:8" x14ac:dyDescent="0.3">
      <c r="A8" t="s">
        <v>17</v>
      </c>
      <c r="G8" t="s">
        <v>15</v>
      </c>
      <c r="H8">
        <v>3.5648534919492969E-97</v>
      </c>
    </row>
    <row r="9" spans="1:8" x14ac:dyDescent="0.3">
      <c r="B9" s="1" t="s">
        <v>1</v>
      </c>
      <c r="C9" s="1" t="s">
        <v>2</v>
      </c>
    </row>
    <row r="10" spans="1:8" x14ac:dyDescent="0.3">
      <c r="A10" s="1" t="s">
        <v>4</v>
      </c>
      <c r="B10">
        <v>11.023152906496399</v>
      </c>
      <c r="C10">
        <v>1.164039732998835</v>
      </c>
    </row>
    <row r="11" spans="1:8" x14ac:dyDescent="0.3">
      <c r="A11" s="1" t="s">
        <v>5</v>
      </c>
      <c r="B11">
        <v>7.7270628313738987</v>
      </c>
      <c r="C11">
        <v>0.47840124372748022</v>
      </c>
    </row>
    <row r="12" spans="1:8" x14ac:dyDescent="0.3">
      <c r="A12" s="1" t="s">
        <v>6</v>
      </c>
      <c r="B12">
        <v>10.167885719263371</v>
      </c>
      <c r="C12">
        <v>0.42596088049777547</v>
      </c>
    </row>
    <row r="13" spans="1:8" x14ac:dyDescent="0.3">
      <c r="A13" s="1" t="s">
        <v>7</v>
      </c>
      <c r="B13">
        <v>15.522174461073419</v>
      </c>
      <c r="C13">
        <v>0.65941957859786282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tabSelected="1" workbookViewId="0">
      <selection activeCell="L26" sqref="L26"/>
    </sheetView>
  </sheetViews>
  <sheetFormatPr defaultRowHeight="14.4" x14ac:dyDescent="0.3"/>
  <cols>
    <col min="2" max="6" width="15.33203125" customWidth="1"/>
    <col min="8" max="14" width="18.33203125" customWidth="1"/>
  </cols>
  <sheetData>
    <row r="1" spans="1:14" x14ac:dyDescent="0.3">
      <c r="A1" t="s">
        <v>41</v>
      </c>
      <c r="H1" t="s">
        <v>43</v>
      </c>
    </row>
    <row r="2" spans="1:14" x14ac:dyDescent="0.3">
      <c r="B2" s="1" t="s">
        <v>4</v>
      </c>
      <c r="C2" s="1" t="s">
        <v>5</v>
      </c>
      <c r="D2" s="1" t="s">
        <v>6</v>
      </c>
      <c r="E2" s="1" t="s">
        <v>7</v>
      </c>
      <c r="H2" s="1" t="s">
        <v>40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</row>
    <row r="3" spans="1:14" x14ac:dyDescent="0.3">
      <c r="A3" s="1" t="s">
        <v>19</v>
      </c>
      <c r="B3" s="2">
        <v>0</v>
      </c>
      <c r="C3" s="2">
        <v>0</v>
      </c>
      <c r="D3" s="2">
        <v>0</v>
      </c>
      <c r="E3" s="2">
        <v>0</v>
      </c>
      <c r="F3" s="2">
        <v>-1</v>
      </c>
      <c r="H3" s="1">
        <v>0</v>
      </c>
    </row>
    <row r="4" spans="1:14" x14ac:dyDescent="0.3">
      <c r="A4" s="1" t="s">
        <v>20</v>
      </c>
      <c r="B4" s="2">
        <v>0</v>
      </c>
      <c r="C4" s="2">
        <v>0</v>
      </c>
      <c r="D4" s="2">
        <v>0</v>
      </c>
      <c r="E4" s="2">
        <v>0</v>
      </c>
      <c r="F4" s="2">
        <v>-1</v>
      </c>
      <c r="H4" s="1">
        <v>1</v>
      </c>
    </row>
    <row r="5" spans="1:14" x14ac:dyDescent="0.3">
      <c r="A5" s="1" t="s">
        <v>21</v>
      </c>
      <c r="B5" s="2">
        <v>0</v>
      </c>
      <c r="C5" s="2">
        <v>0</v>
      </c>
      <c r="D5" s="2">
        <v>0</v>
      </c>
      <c r="E5" s="2">
        <v>0</v>
      </c>
      <c r="F5" s="2">
        <v>-1</v>
      </c>
      <c r="H5" s="1">
        <v>2</v>
      </c>
    </row>
    <row r="6" spans="1:14" x14ac:dyDescent="0.3">
      <c r="A6" s="1" t="s">
        <v>22</v>
      </c>
      <c r="B6">
        <v>70.120029729999999</v>
      </c>
      <c r="C6">
        <v>70.030036420000002</v>
      </c>
      <c r="D6" s="2">
        <v>13.650418439999999</v>
      </c>
      <c r="E6">
        <v>853.74008790000005</v>
      </c>
      <c r="F6">
        <f>MIN(B6:E6)</f>
        <v>13.650418439999999</v>
      </c>
      <c r="H6" s="1">
        <v>3</v>
      </c>
      <c r="I6" s="3">
        <v>2.0432995746742249E-25</v>
      </c>
      <c r="J6" s="4">
        <v>0.59547962229087292</v>
      </c>
      <c r="K6" s="3">
        <v>1.3437628986644581E-34</v>
      </c>
      <c r="L6" s="3">
        <v>1.566367716452255E-34</v>
      </c>
      <c r="M6" s="3">
        <v>2.0278248529119751E-25</v>
      </c>
      <c r="N6" s="3">
        <v>1.7344177434634219E-27</v>
      </c>
    </row>
    <row r="7" spans="1:14" x14ac:dyDescent="0.3">
      <c r="A7" s="1" t="s">
        <v>23</v>
      </c>
      <c r="B7" s="2">
        <v>683.36020955000004</v>
      </c>
      <c r="C7">
        <v>762.87016082000002</v>
      </c>
      <c r="D7">
        <v>1289.49005713</v>
      </c>
      <c r="E7">
        <v>1019.10019604</v>
      </c>
      <c r="F7">
        <f t="shared" ref="F7:F16" si="0">MIN(B7:E7)</f>
        <v>683.36020955000004</v>
      </c>
      <c r="H7" s="1">
        <v>4</v>
      </c>
      <c r="I7" s="5">
        <v>2.1688919333262271E-3</v>
      </c>
      <c r="J7" s="4">
        <v>0.53978194429026272</v>
      </c>
      <c r="K7" s="3">
        <v>3.9634606050298998E-6</v>
      </c>
      <c r="L7" s="3">
        <v>6.4756204133619284E-5</v>
      </c>
      <c r="M7" s="4">
        <v>2.031028657967059E-2</v>
      </c>
      <c r="N7" s="4">
        <v>1.2652296579014991E-2</v>
      </c>
    </row>
    <row r="8" spans="1:14" x14ac:dyDescent="0.3">
      <c r="A8" s="1" t="s">
        <v>24</v>
      </c>
      <c r="B8">
        <v>118.54027867000001</v>
      </c>
      <c r="C8">
        <v>84.150593150000006</v>
      </c>
      <c r="D8" s="2">
        <v>43.531541310000001</v>
      </c>
      <c r="E8">
        <v>845.49019755999996</v>
      </c>
      <c r="F8">
        <f t="shared" si="0"/>
        <v>43.531541310000001</v>
      </c>
      <c r="H8" s="1">
        <v>5</v>
      </c>
      <c r="I8" s="3">
        <v>2.693872369393407E-21</v>
      </c>
      <c r="J8" s="4">
        <v>1.1051239127468261E-2</v>
      </c>
      <c r="K8" s="3">
        <v>7.4280517252265233E-4</v>
      </c>
      <c r="L8" s="4">
        <v>5.5693528147333013E-2</v>
      </c>
      <c r="M8" s="3">
        <v>1.550297540030172E-22</v>
      </c>
      <c r="N8" s="3">
        <v>5.4453073132446299E-24</v>
      </c>
    </row>
    <row r="9" spans="1:14" x14ac:dyDescent="0.3">
      <c r="A9" s="1" t="s">
        <v>25</v>
      </c>
      <c r="B9" s="2">
        <v>120.12034475</v>
      </c>
      <c r="C9">
        <v>138.90033449000001</v>
      </c>
      <c r="D9">
        <v>176.76021527</v>
      </c>
      <c r="E9">
        <v>761.97016072999998</v>
      </c>
      <c r="F9">
        <f t="shared" si="0"/>
        <v>120.12034475</v>
      </c>
      <c r="H9" s="1">
        <v>6</v>
      </c>
      <c r="I9" s="3">
        <v>5.3904477224376587E-20</v>
      </c>
      <c r="J9" s="4">
        <v>0.46384380815519177</v>
      </c>
      <c r="K9" s="4">
        <v>0.22590427003354019</v>
      </c>
      <c r="L9" s="4">
        <v>0.4391005719917811</v>
      </c>
      <c r="M9" s="3">
        <v>5.778604284726471E-19</v>
      </c>
      <c r="N9" s="3">
        <v>2.5561455888876209E-14</v>
      </c>
    </row>
    <row r="10" spans="1:14" x14ac:dyDescent="0.3">
      <c r="A10" s="1" t="s">
        <v>26</v>
      </c>
      <c r="B10">
        <v>143.80020873000001</v>
      </c>
      <c r="C10">
        <v>146.42024128</v>
      </c>
      <c r="D10" s="2">
        <v>94.510764030000004</v>
      </c>
      <c r="E10">
        <v>680.99074716999996</v>
      </c>
      <c r="F10">
        <f t="shared" si="0"/>
        <v>94.510764030000004</v>
      </c>
      <c r="H10" s="1">
        <v>7</v>
      </c>
      <c r="I10" s="3">
        <v>2.34614053094623E-19</v>
      </c>
      <c r="J10" s="4">
        <v>0.58358405855155149</v>
      </c>
      <c r="K10" s="3">
        <v>5.9885643944698199E-7</v>
      </c>
      <c r="L10" s="3">
        <v>1.2626977530204391E-7</v>
      </c>
      <c r="M10" s="3">
        <v>3.077771187198261E-19</v>
      </c>
      <c r="N10" s="3">
        <v>1.399663098185183E-21</v>
      </c>
    </row>
    <row r="11" spans="1:14" x14ac:dyDescent="0.3">
      <c r="A11" s="1" t="s">
        <v>27</v>
      </c>
      <c r="B11">
        <v>62.390064070000001</v>
      </c>
      <c r="C11">
        <v>62.420075349999998</v>
      </c>
      <c r="D11" s="2">
        <v>46.130597530000003</v>
      </c>
      <c r="E11">
        <v>556.46014878999995</v>
      </c>
      <c r="F11">
        <f t="shared" si="0"/>
        <v>46.130597530000003</v>
      </c>
      <c r="H11" s="1">
        <v>8</v>
      </c>
      <c r="I11" s="3">
        <v>1.5114296841893891E-29</v>
      </c>
      <c r="J11" s="4">
        <v>0.97312878691104931</v>
      </c>
      <c r="K11" s="5">
        <v>7.9909641546104301E-3</v>
      </c>
      <c r="L11" s="5">
        <v>7.7697971158433906E-3</v>
      </c>
      <c r="M11" s="3">
        <v>1.522947560792664E-29</v>
      </c>
      <c r="N11" s="3">
        <v>6.6437952558420372E-31</v>
      </c>
    </row>
    <row r="12" spans="1:14" x14ac:dyDescent="0.3">
      <c r="A12" s="1" t="s">
        <v>28</v>
      </c>
      <c r="B12">
        <v>264.01001803999998</v>
      </c>
      <c r="C12">
        <v>243.29001980000001</v>
      </c>
      <c r="D12" s="2">
        <v>11.883783490000001</v>
      </c>
      <c r="E12">
        <v>547.31036228999994</v>
      </c>
      <c r="F12">
        <f t="shared" si="0"/>
        <v>11.883783490000001</v>
      </c>
      <c r="H12" s="1">
        <v>9</v>
      </c>
      <c r="I12" s="3">
        <v>1.2771723098478579E-16</v>
      </c>
      <c r="J12" s="3">
        <v>1.080516181857747E-16</v>
      </c>
      <c r="K12" s="3">
        <v>4.3513827137115428E-55</v>
      </c>
      <c r="L12" s="3">
        <v>3.6238170925960002E-51</v>
      </c>
      <c r="M12" s="3">
        <v>3.2591584022514061E-18</v>
      </c>
      <c r="N12" s="3">
        <v>1.7204868902398219E-35</v>
      </c>
    </row>
    <row r="13" spans="1:14" x14ac:dyDescent="0.3">
      <c r="A13" s="1" t="s">
        <v>29</v>
      </c>
      <c r="B13">
        <v>216.16004264</v>
      </c>
      <c r="C13">
        <v>217.26004068</v>
      </c>
      <c r="D13" s="2">
        <v>73.530662649999996</v>
      </c>
      <c r="E13">
        <v>555.78064191999999</v>
      </c>
      <c r="F13">
        <f t="shared" si="0"/>
        <v>73.530662649999996</v>
      </c>
      <c r="H13" s="1">
        <v>10</v>
      </c>
      <c r="I13" s="3">
        <v>2.1271916403051569E-13</v>
      </c>
      <c r="J13" s="4">
        <v>0.67387317406221614</v>
      </c>
      <c r="K13" s="3">
        <v>8.0611097652837195E-17</v>
      </c>
      <c r="L13" s="3">
        <v>5.4708490920511948E-17</v>
      </c>
      <c r="M13" s="3">
        <v>2.4420450086162118E-13</v>
      </c>
      <c r="N13" s="3">
        <v>6.2727823623701271E-21</v>
      </c>
    </row>
    <row r="14" spans="1:14" x14ac:dyDescent="0.3">
      <c r="A14" s="1" t="s">
        <v>30</v>
      </c>
      <c r="B14">
        <v>223.21000280000001</v>
      </c>
      <c r="C14">
        <v>225.11000202</v>
      </c>
      <c r="D14" s="2">
        <v>183.32001675000001</v>
      </c>
      <c r="E14">
        <v>582.71027004999996</v>
      </c>
      <c r="F14">
        <f t="shared" si="0"/>
        <v>183.32001675000001</v>
      </c>
      <c r="H14" s="1">
        <v>11</v>
      </c>
      <c r="I14" s="3">
        <v>8.9654537411753758E-16</v>
      </c>
      <c r="J14" s="4">
        <v>0.33330292383844662</v>
      </c>
      <c r="K14" s="3">
        <v>5.8453874899677986E-4</v>
      </c>
      <c r="L14" s="3">
        <v>2.7519702378159868E-4</v>
      </c>
      <c r="M14" s="3">
        <v>1.1366633841105439E-15</v>
      </c>
      <c r="N14" s="3">
        <v>7.3617373879194754E-18</v>
      </c>
    </row>
    <row r="15" spans="1:14" x14ac:dyDescent="0.3">
      <c r="A15" s="1" t="s">
        <v>31</v>
      </c>
      <c r="B15">
        <v>171.33000541000001</v>
      </c>
      <c r="C15">
        <v>159.82000597000001</v>
      </c>
      <c r="D15" s="2">
        <v>28.150038349999999</v>
      </c>
      <c r="E15">
        <v>667.27012816000001</v>
      </c>
      <c r="F15">
        <f t="shared" si="0"/>
        <v>28.150038349999999</v>
      </c>
      <c r="H15" s="1">
        <v>12</v>
      </c>
      <c r="I15" s="3">
        <v>2.5530544761660232E-18</v>
      </c>
      <c r="J15" s="4">
        <v>0.2108762768124591</v>
      </c>
      <c r="K15" s="3">
        <v>2.9238596768864729E-44</v>
      </c>
      <c r="L15" s="3">
        <v>1.190051798814337E-37</v>
      </c>
      <c r="M15" s="3">
        <v>7.3027641793715823E-19</v>
      </c>
      <c r="N15" s="3">
        <v>5.8846389933596406E-25</v>
      </c>
    </row>
    <row r="16" spans="1:14" x14ac:dyDescent="0.3">
      <c r="A16" s="1" t="s">
        <v>32</v>
      </c>
      <c r="B16">
        <v>185.11001257999999</v>
      </c>
      <c r="C16">
        <v>185.31001078</v>
      </c>
      <c r="D16" s="2">
        <v>2.57750462</v>
      </c>
      <c r="E16">
        <v>624.42026317</v>
      </c>
      <c r="F16">
        <f t="shared" si="0"/>
        <v>2.57750462</v>
      </c>
      <c r="H16" s="1">
        <v>13</v>
      </c>
      <c r="I16" s="3">
        <v>1.044397697267783E-15</v>
      </c>
      <c r="J16" s="4">
        <v>0.79211871106531317</v>
      </c>
      <c r="K16" s="3">
        <v>4.117187121925489E-156</v>
      </c>
      <c r="L16" s="3">
        <v>1.9406304573611679E-180</v>
      </c>
      <c r="M16" s="3">
        <v>1.0681468353354479E-15</v>
      </c>
      <c r="N16" s="3">
        <v>3.212878507843882E-24</v>
      </c>
    </row>
    <row r="17" spans="1:14" x14ac:dyDescent="0.3">
      <c r="A17" s="1" t="s">
        <v>33</v>
      </c>
      <c r="B17" s="2">
        <v>0</v>
      </c>
      <c r="C17" s="2">
        <v>0</v>
      </c>
      <c r="D17" s="2">
        <v>0</v>
      </c>
      <c r="E17" s="2">
        <v>0</v>
      </c>
      <c r="F17" s="2">
        <v>-1</v>
      </c>
      <c r="H17" s="1">
        <v>14</v>
      </c>
    </row>
    <row r="18" spans="1:14" x14ac:dyDescent="0.3">
      <c r="B18" cm="1">
        <f t="array" ref="B18">SUMPRODUCT(--(B3:B17 = F3:F17))</f>
        <v>2</v>
      </c>
      <c r="C18" cm="1">
        <f t="array" ref="C18">SUMPRODUCT(--(C3:C17 = F3:F17))</f>
        <v>0</v>
      </c>
      <c r="D18" cm="1">
        <f t="array" ref="D18">SUMPRODUCT(--(D3:D17 = F3:F17))</f>
        <v>9</v>
      </c>
      <c r="E18" cm="1">
        <f t="array" ref="E18">SUMPRODUCT(--(E3:E17 = F3:F17))</f>
        <v>0</v>
      </c>
      <c r="F18">
        <f>SUM(B18:E18)</f>
        <v>11</v>
      </c>
    </row>
    <row r="19" spans="1:14" x14ac:dyDescent="0.3">
      <c r="B19">
        <f>AVERAGE(B3:B16)</f>
        <v>161.29651549785714</v>
      </c>
      <c r="C19">
        <f t="shared" ref="C19:E19" si="1">AVERAGE(C3:C16)</f>
        <v>163.97010862571429</v>
      </c>
      <c r="D19">
        <f t="shared" si="1"/>
        <v>140.25254282642854</v>
      </c>
      <c r="E19">
        <f t="shared" si="1"/>
        <v>549.66022884142853</v>
      </c>
      <c r="H19" t="s">
        <v>44</v>
      </c>
      <c r="I19">
        <f t="shared" ref="I19:N19" si="2">COUNTIF(I3:I16, "&lt;0.001")</f>
        <v>10</v>
      </c>
      <c r="J19">
        <f t="shared" si="2"/>
        <v>1</v>
      </c>
      <c r="K19">
        <f t="shared" si="2"/>
        <v>9</v>
      </c>
      <c r="L19">
        <f t="shared" si="2"/>
        <v>8</v>
      </c>
      <c r="M19">
        <f t="shared" si="2"/>
        <v>10</v>
      </c>
      <c r="N19">
        <f t="shared" si="2"/>
        <v>10</v>
      </c>
    </row>
    <row r="20" spans="1:14" x14ac:dyDescent="0.3">
      <c r="H20" t="s">
        <v>45</v>
      </c>
      <c r="I20">
        <f t="shared" ref="I20:N20" si="3">COUNTIF(I3:I17, "&lt;0.0083")-I19</f>
        <v>1</v>
      </c>
      <c r="J20">
        <f t="shared" si="3"/>
        <v>0</v>
      </c>
      <c r="K20">
        <f t="shared" si="3"/>
        <v>1</v>
      </c>
      <c r="L20">
        <f t="shared" si="3"/>
        <v>1</v>
      </c>
      <c r="M20">
        <f t="shared" si="3"/>
        <v>0</v>
      </c>
      <c r="N20">
        <f t="shared" si="3"/>
        <v>0</v>
      </c>
    </row>
    <row r="21" spans="1:14" x14ac:dyDescent="0.3">
      <c r="H21" s="6" t="s">
        <v>46</v>
      </c>
      <c r="I21">
        <f t="shared" ref="I21:N21" si="4">COUNTIF(I3:I17, "&gt;=0.0083")</f>
        <v>0</v>
      </c>
      <c r="J21">
        <f t="shared" si="4"/>
        <v>10</v>
      </c>
      <c r="K21">
        <f t="shared" si="4"/>
        <v>1</v>
      </c>
      <c r="L21">
        <f t="shared" si="4"/>
        <v>2</v>
      </c>
      <c r="M21">
        <f t="shared" si="4"/>
        <v>1</v>
      </c>
      <c r="N21">
        <f t="shared" si="4"/>
        <v>1</v>
      </c>
    </row>
    <row r="22" spans="1:14" x14ac:dyDescent="0.3">
      <c r="A22" t="s">
        <v>42</v>
      </c>
    </row>
    <row r="23" spans="1:14" x14ac:dyDescent="0.3">
      <c r="B23" s="1" t="s">
        <v>4</v>
      </c>
      <c r="C23" s="1" t="s">
        <v>5</v>
      </c>
      <c r="D23" s="1" t="s">
        <v>6</v>
      </c>
      <c r="E23" s="1" t="s">
        <v>7</v>
      </c>
    </row>
    <row r="24" spans="1:14" x14ac:dyDescent="0.3">
      <c r="A24" s="1" t="s">
        <v>19</v>
      </c>
      <c r="B24">
        <v>0</v>
      </c>
      <c r="C24">
        <v>0</v>
      </c>
      <c r="D24">
        <v>0</v>
      </c>
      <c r="E24">
        <v>0</v>
      </c>
    </row>
    <row r="25" spans="1:14" x14ac:dyDescent="0.3">
      <c r="A25" s="1" t="s">
        <v>20</v>
      </c>
      <c r="B25">
        <v>0</v>
      </c>
      <c r="C25">
        <v>0</v>
      </c>
      <c r="D25">
        <v>0</v>
      </c>
      <c r="E25">
        <v>0</v>
      </c>
    </row>
    <row r="26" spans="1:14" x14ac:dyDescent="0.3">
      <c r="A26" s="1" t="s">
        <v>21</v>
      </c>
      <c r="B26">
        <v>0</v>
      </c>
      <c r="C26">
        <v>0</v>
      </c>
      <c r="D26">
        <v>0</v>
      </c>
      <c r="E26">
        <v>0</v>
      </c>
    </row>
    <row r="27" spans="1:14" x14ac:dyDescent="0.3">
      <c r="A27" s="1" t="s">
        <v>22</v>
      </c>
      <c r="B27">
        <v>1.3362647000000001</v>
      </c>
      <c r="C27">
        <v>1.0242592100000001</v>
      </c>
      <c r="D27">
        <v>29.771498909999998</v>
      </c>
      <c r="E27">
        <v>552.92999953000003</v>
      </c>
    </row>
    <row r="28" spans="1:14" x14ac:dyDescent="0.3">
      <c r="A28" s="1" t="s">
        <v>23</v>
      </c>
      <c r="B28">
        <v>901.61706688000004</v>
      </c>
      <c r="C28">
        <v>919.825602</v>
      </c>
      <c r="D28">
        <v>895.33441142000004</v>
      </c>
      <c r="E28">
        <v>581.37459554999998</v>
      </c>
    </row>
    <row r="29" spans="1:14" x14ac:dyDescent="0.3">
      <c r="A29" s="1" t="s">
        <v>24</v>
      </c>
      <c r="B29">
        <v>102.21517407</v>
      </c>
      <c r="C29">
        <v>85.641749799999999</v>
      </c>
      <c r="D29">
        <v>191.11535762</v>
      </c>
      <c r="E29">
        <v>596.34383695999998</v>
      </c>
    </row>
    <row r="30" spans="1:14" x14ac:dyDescent="0.3">
      <c r="A30" s="1" t="s">
        <v>25</v>
      </c>
      <c r="B30">
        <v>147.40520573000001</v>
      </c>
      <c r="C30">
        <v>207.51132000000001</v>
      </c>
      <c r="D30">
        <v>438.91408963999999</v>
      </c>
      <c r="E30">
        <v>551.88538030999996</v>
      </c>
    </row>
    <row r="31" spans="1:14" x14ac:dyDescent="0.3">
      <c r="A31" s="1" t="s">
        <v>26</v>
      </c>
      <c r="B31">
        <v>35.299531799999997</v>
      </c>
      <c r="C31">
        <v>31.751531799999999</v>
      </c>
      <c r="D31">
        <v>86.502004229999997</v>
      </c>
      <c r="E31">
        <v>475.96504235999998</v>
      </c>
    </row>
    <row r="32" spans="1:14" x14ac:dyDescent="0.3">
      <c r="A32" s="1" t="s">
        <v>27</v>
      </c>
      <c r="B32">
        <v>6.8071759500000004</v>
      </c>
      <c r="C32">
        <v>5.6606884500000003</v>
      </c>
      <c r="D32">
        <v>59.399351449999997</v>
      </c>
      <c r="E32">
        <v>303.95551069999999</v>
      </c>
    </row>
    <row r="33" spans="1:5" x14ac:dyDescent="0.3">
      <c r="A33" s="1" t="s">
        <v>28</v>
      </c>
      <c r="B33">
        <v>17.000288959999999</v>
      </c>
      <c r="C33">
        <v>14.9821841</v>
      </c>
      <c r="D33">
        <v>80.037240420000003</v>
      </c>
      <c r="E33">
        <v>282.64099024000001</v>
      </c>
    </row>
    <row r="34" spans="1:5" x14ac:dyDescent="0.3">
      <c r="A34" s="1" t="s">
        <v>29</v>
      </c>
      <c r="B34">
        <v>18.090172509999999</v>
      </c>
      <c r="C34">
        <v>18.6309495</v>
      </c>
      <c r="D34">
        <v>140.80070717000001</v>
      </c>
      <c r="E34">
        <v>397.90605259</v>
      </c>
    </row>
    <row r="35" spans="1:5" x14ac:dyDescent="0.3">
      <c r="A35" s="1" t="s">
        <v>30</v>
      </c>
      <c r="B35">
        <v>19.4315648</v>
      </c>
      <c r="C35">
        <v>0.71965266000000006</v>
      </c>
      <c r="D35">
        <v>110.21376243</v>
      </c>
      <c r="E35">
        <v>373.19703118000001</v>
      </c>
    </row>
    <row r="36" spans="1:5" x14ac:dyDescent="0.3">
      <c r="A36" s="1" t="s">
        <v>31</v>
      </c>
      <c r="B36">
        <v>62.30040675</v>
      </c>
      <c r="C36">
        <v>66.6528864</v>
      </c>
      <c r="D36">
        <v>26.529361250000001</v>
      </c>
      <c r="E36">
        <v>458.46008148999999</v>
      </c>
    </row>
    <row r="37" spans="1:5" x14ac:dyDescent="0.3">
      <c r="A37" s="1" t="s">
        <v>32</v>
      </c>
      <c r="B37">
        <v>4.2211234400000004</v>
      </c>
      <c r="C37">
        <v>6.2461075299999997</v>
      </c>
      <c r="D37">
        <v>10.05421713</v>
      </c>
      <c r="E37">
        <v>457.65685703999998</v>
      </c>
    </row>
    <row r="38" spans="1:5" x14ac:dyDescent="0.3">
      <c r="A38" s="1" t="s">
        <v>33</v>
      </c>
      <c r="B38">
        <v>0</v>
      </c>
      <c r="C38">
        <v>0</v>
      </c>
      <c r="D38">
        <v>0</v>
      </c>
      <c r="E38">
        <v>0</v>
      </c>
    </row>
    <row r="39" spans="1:5" x14ac:dyDescent="0.3">
      <c r="B39">
        <f>AVERAGE(B27:B37)</f>
        <v>119.61127050818185</v>
      </c>
      <c r="C39">
        <f t="shared" ref="C39:E39" si="5">AVERAGE(C27:C37)</f>
        <v>123.51335740454546</v>
      </c>
      <c r="D39">
        <f t="shared" si="5"/>
        <v>188.06109106090909</v>
      </c>
      <c r="E39">
        <f t="shared" si="5"/>
        <v>457.48321617727265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Structural Fidelity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Prajwal Agrawal</cp:lastModifiedBy>
  <dcterms:created xsi:type="dcterms:W3CDTF">2025-10-20T00:17:47Z</dcterms:created>
  <dcterms:modified xsi:type="dcterms:W3CDTF">2025-12-14T21:49:48Z</dcterms:modified>
</cp:coreProperties>
</file>