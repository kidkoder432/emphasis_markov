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dp\emphasis_markov\evals_20260214\"/>
    </mc:Choice>
  </mc:AlternateContent>
  <xr:revisionPtr revIDLastSave="0" documentId="13_ncr:1_{14243DDD-DD25-4B0A-B719-2E823F86059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rics" sheetId="1" r:id="rId1"/>
    <sheet name="Structural Fide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B22" i="2"/>
  <c r="N24" i="2"/>
  <c r="M24" i="2"/>
  <c r="L24" i="2"/>
  <c r="K24" i="2"/>
  <c r="J24" i="2"/>
  <c r="I24" i="2"/>
  <c r="N22" i="2"/>
  <c r="N23" i="2" s="1"/>
  <c r="M22" i="2"/>
  <c r="M23" i="2" s="1"/>
  <c r="L22" i="2"/>
  <c r="L23" i="2" s="1"/>
  <c r="K22" i="2"/>
  <c r="K23" i="2" s="1"/>
  <c r="J22" i="2"/>
  <c r="J23" i="2" s="1"/>
  <c r="I22" i="2"/>
  <c r="I23" i="2" s="1"/>
  <c r="F18" i="2"/>
  <c r="F17" i="2"/>
  <c r="F16" i="2"/>
  <c r="F15" i="2"/>
  <c r="F14" i="2"/>
  <c r="F13" i="2"/>
  <c r="F12" i="2"/>
  <c r="F11" i="2"/>
  <c r="F10" i="2"/>
  <c r="F9" i="2"/>
  <c r="F8" i="2"/>
  <c r="F7" i="2"/>
  <c r="C21" i="2" l="1" a="1"/>
  <c r="C21" i="2" s="1"/>
  <c r="D21" i="2" a="1"/>
  <c r="D21" i="2" s="1"/>
  <c r="E21" i="2" a="1"/>
  <c r="E21" i="2" s="1"/>
  <c r="B21" i="2" a="1"/>
  <c r="B21" i="2" s="1"/>
  <c r="F2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<sst xmlns="http://schemas.openxmlformats.org/spreadsheetml/2006/main" count="82" uniqueCount="50">
  <si>
    <t>Unique Tags (%)</t>
  </si>
  <si>
    <t>Vocab Size</t>
  </si>
  <si>
    <t>Phrase Length</t>
  </si>
  <si>
    <t>Rules Broken</t>
  </si>
  <si>
    <t>Full Model</t>
  </si>
  <si>
    <t>Tags-Only</t>
  </si>
  <si>
    <t>Emphasis-Only</t>
  </si>
  <si>
    <t>Base Model</t>
  </si>
  <si>
    <t>Comparison</t>
  </si>
  <si>
    <t>P-Value</t>
  </si>
  <si>
    <t>Full Model vs. Base Model</t>
  </si>
  <si>
    <t>Full Model vs. Tags-Only</t>
  </si>
  <si>
    <t>Full Model vs. Emphasis-Only</t>
  </si>
  <si>
    <t>Tags-Only vs. Base Model</t>
  </si>
  <si>
    <t>Tags-Only vs. Emphasis-Only</t>
  </si>
  <si>
    <t>Emphasis-Only vs. Base Model</t>
  </si>
  <si>
    <t>Mean Metrics</t>
  </si>
  <si>
    <t>Standard Deviation of Metrics</t>
  </si>
  <si>
    <t>Vocab Size T-Test P-Values</t>
  </si>
  <si>
    <t>Note 0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</si>
  <si>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</si>
  <si>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</si>
  <si>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</si>
  <si>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</si>
  <si>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</si>
  <si>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</si>
  <si>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</si>
  <si>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</si>
  <si>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</si>
  <si>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</si>
  <si>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</si>
  <si>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</si>
  <si>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</si>
  <si>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</si>
  <si>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</si>
  <si>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</si>
  <si>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</si>
  <si>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full vs base</t>
  </si>
  <si>
    <t>full vs tags</t>
  </si>
  <si>
    <t>full vs emphasis</t>
  </si>
  <si>
    <t>tags vs emphasis</t>
  </si>
  <si>
    <t>tags vs base</t>
  </si>
  <si>
    <t>emphasis vs base</t>
  </si>
  <si>
    <t>Note</t>
  </si>
  <si>
    <t>Raw Distance Values (Lower is Better)</t>
  </si>
  <si>
    <t>Standard Deviations of Distance</t>
  </si>
  <si>
    <t>Structural Fidelity T-Test P-Values</t>
  </si>
  <si>
    <t>p &lt; 0.001</t>
  </si>
  <si>
    <t>p &lt; 0.0083</t>
  </si>
  <si>
    <t>p &gt; 0.0083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</si>
</sst>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12" sqref="F12"/>
    </sheetView>
  </sheetViews>
  <sheetFormatPr defaultRowHeight="14.4" x14ac:dyDescent="0.3"/>
  <cols>
    <col min="1" max="8" width="18.21875" customWidth="1"/>
  </cols>
  <sheetData>
    <row r="1" spans="1:8" x14ac:dyDescent="0.3">
      <c r="A1" t="s">
        <v>16</v>
      </c>
      <c r="G1" t="s">
        <v>18</v>
      </c>
    </row>
    <row r="2" spans="1:8" x14ac:dyDescent="0.3">
      <c r="B2" s="1" t="s">
        <v>0</v>
      </c>
      <c r="C2" s="1" t="s">
        <v>1</v>
      </c>
      <c r="D2" s="1" t="s">
        <v>2</v>
      </c>
      <c r="E2" s="1" t="s">
        <v>3</v>
      </c>
      <c r="G2" s="1" t="s">
        <v>8</v>
      </c>
      <c r="H2" s="1" t="s">
        <v>9</v>
      </c>
    </row>
    <row r="3" spans="1:8" x14ac:dyDescent="0.3">
      <c r="A3" s="1" t="s">
        <v>4</v>
      </c>
      <c r="B3">
        <v>100</v>
      </c>
      <c r="C3">
        <v>109.84</v>
      </c>
      <c r="D3">
        <v>4.6543749999999999</v>
      </c>
      <c r="E3">
        <v>0.01</v>
      </c>
      <c r="G3" t="s">
        <v>10</v>
      </c>
      <c r="H3">
        <v>3.0991774443297621E-106</v>
      </c>
    </row>
    <row r="4" spans="1:8" x14ac:dyDescent="0.3">
      <c r="A4" s="1" t="s">
        <v>5</v>
      </c>
      <c r="B4">
        <v>100</v>
      </c>
      <c r="C4">
        <v>104.61</v>
      </c>
      <c r="D4">
        <v>4.0581250000000004</v>
      </c>
      <c r="E4">
        <v>0</v>
      </c>
      <c r="G4" t="s">
        <v>11</v>
      </c>
      <c r="H4">
        <v>6.2777412329823933E-10</v>
      </c>
    </row>
    <row r="5" spans="1:8" x14ac:dyDescent="0.3">
      <c r="A5" s="1" t="s">
        <v>6</v>
      </c>
      <c r="B5">
        <v>78.571428571428484</v>
      </c>
      <c r="C5">
        <v>104.22</v>
      </c>
      <c r="D5">
        <v>4.3663829787234052</v>
      </c>
      <c r="E5">
        <v>0.19</v>
      </c>
      <c r="G5" t="s">
        <v>12</v>
      </c>
      <c r="H5">
        <v>1.151090379440944E-7</v>
      </c>
    </row>
    <row r="6" spans="1:8" x14ac:dyDescent="0.3">
      <c r="A6" s="1" t="s">
        <v>7</v>
      </c>
      <c r="B6">
        <v>78.571428571428484</v>
      </c>
      <c r="C6">
        <v>178.61</v>
      </c>
      <c r="D6">
        <v>6.1034042553191474</v>
      </c>
      <c r="E6">
        <v>0.86</v>
      </c>
      <c r="G6" t="s">
        <v>13</v>
      </c>
      <c r="H6">
        <v>3.0983266282399667E-107</v>
      </c>
    </row>
    <row r="7" spans="1:8" x14ac:dyDescent="0.3">
      <c r="G7" t="s">
        <v>14</v>
      </c>
      <c r="H7">
        <v>0.69049608822500197</v>
      </c>
    </row>
    <row r="8" spans="1:8" x14ac:dyDescent="0.3">
      <c r="A8" t="s">
        <v>17</v>
      </c>
      <c r="G8" t="s">
        <v>15</v>
      </c>
      <c r="H8">
        <v>6.2201448235846222E-118</v>
      </c>
    </row>
    <row r="9" spans="1:8" x14ac:dyDescent="0.3">
      <c r="B9" s="1" t="s">
        <v>1</v>
      </c>
      <c r="C9" s="1" t="s">
        <v>2</v>
      </c>
    </row>
    <row r="10" spans="1:8" x14ac:dyDescent="0.3">
      <c r="A10" s="1" t="s">
        <v>4</v>
      </c>
      <c r="B10">
        <v>5.9945308406913709</v>
      </c>
      <c r="C10">
        <v>0.52075078512502826</v>
      </c>
    </row>
    <row r="11" spans="1:8" x14ac:dyDescent="0.3">
      <c r="A11" s="1" t="s">
        <v>5</v>
      </c>
      <c r="B11">
        <v>5.2913041870601232</v>
      </c>
      <c r="C11">
        <v>0.27920234535687161</v>
      </c>
    </row>
    <row r="12" spans="1:8" x14ac:dyDescent="0.3">
      <c r="A12" s="1" t="s">
        <v>6</v>
      </c>
      <c r="B12">
        <v>8.164043116005697</v>
      </c>
      <c r="C12">
        <v>0.24628668239074991</v>
      </c>
    </row>
    <row r="13" spans="1:8" x14ac:dyDescent="0.3">
      <c r="A13" s="1" t="s">
        <v>7</v>
      </c>
      <c r="B13">
        <v>10.53080718653608</v>
      </c>
      <c r="C13">
        <v>0.45090342390722993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tabSelected="1" topLeftCell="A14" workbookViewId="0">
      <selection activeCell="E24" sqref="E24"/>
    </sheetView>
  </sheetViews>
  <sheetFormatPr defaultRowHeight="14.4" x14ac:dyDescent="0.3"/>
  <cols>
    <col min="1" max="14" width="13" customWidth="1"/>
  </cols>
  <sheetData>
    <row r="1" spans="1:14" x14ac:dyDescent="0.3">
      <c r="A1" t="s">
        <v>44</v>
      </c>
      <c r="H1" t="s">
        <v>46</v>
      </c>
    </row>
    <row r="2" spans="1:14" x14ac:dyDescent="0.3">
      <c r="B2" s="1" t="s">
        <v>4</v>
      </c>
      <c r="C2" s="1" t="s">
        <v>5</v>
      </c>
      <c r="D2" s="1" t="s">
        <v>6</v>
      </c>
      <c r="E2" s="1" t="s">
        <v>7</v>
      </c>
      <c r="H2" s="1" t="s">
        <v>43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x14ac:dyDescent="0.3">
      <c r="A3" s="1" t="s">
        <v>19</v>
      </c>
      <c r="B3" s="2">
        <v>0</v>
      </c>
      <c r="C3" s="2">
        <v>0</v>
      </c>
      <c r="D3" s="2">
        <v>0</v>
      </c>
      <c r="E3" s="2">
        <v>0</v>
      </c>
      <c r="F3" s="2">
        <v>-1</v>
      </c>
      <c r="H3" s="1">
        <v>0</v>
      </c>
    </row>
    <row r="4" spans="1:14" x14ac:dyDescent="0.3">
      <c r="A4" s="1" t="s">
        <v>20</v>
      </c>
      <c r="B4" s="2">
        <v>0</v>
      </c>
      <c r="C4" s="2">
        <v>0</v>
      </c>
      <c r="D4" s="2">
        <v>0</v>
      </c>
      <c r="E4" s="2">
        <v>0</v>
      </c>
      <c r="F4" s="2">
        <v>-1</v>
      </c>
      <c r="H4" s="1">
        <v>1</v>
      </c>
    </row>
    <row r="5" spans="1:14" x14ac:dyDescent="0.3">
      <c r="A5" s="1" t="s">
        <v>21</v>
      </c>
      <c r="B5" s="2">
        <v>0</v>
      </c>
      <c r="C5" s="2">
        <v>0</v>
      </c>
      <c r="D5" s="2">
        <v>0</v>
      </c>
      <c r="E5" s="2">
        <v>0</v>
      </c>
      <c r="F5" s="2">
        <v>-1</v>
      </c>
      <c r="H5" s="1">
        <v>2</v>
      </c>
    </row>
    <row r="6" spans="1:14" x14ac:dyDescent="0.3">
      <c r="A6" s="1" t="s">
        <v>22</v>
      </c>
      <c r="B6" s="2">
        <v>0</v>
      </c>
      <c r="C6" s="2">
        <v>0</v>
      </c>
      <c r="D6" s="2">
        <v>0</v>
      </c>
      <c r="E6" s="2">
        <v>0</v>
      </c>
      <c r="F6" s="2">
        <v>-1</v>
      </c>
      <c r="H6" s="1">
        <v>3</v>
      </c>
    </row>
    <row r="7" spans="1:14" x14ac:dyDescent="0.3">
      <c r="A7" s="1" t="s">
        <v>23</v>
      </c>
      <c r="B7">
        <v>15.15012907</v>
      </c>
      <c r="C7" s="2">
        <v>15.02005464</v>
      </c>
      <c r="D7">
        <v>23.701080770000001</v>
      </c>
      <c r="E7">
        <v>822.41003081999997</v>
      </c>
      <c r="F7">
        <f>MIN(B7:E7)</f>
        <v>15.02005464</v>
      </c>
      <c r="H7" s="1">
        <v>4</v>
      </c>
      <c r="I7" s="3">
        <v>4.7159898744048163E-26</v>
      </c>
      <c r="J7" s="4">
        <v>0.62142856233235966</v>
      </c>
      <c r="K7" s="4">
        <v>0.163973631168531</v>
      </c>
      <c r="L7" s="4">
        <v>0.15770129128841121</v>
      </c>
      <c r="M7" s="3">
        <v>4.66513087429767E-26</v>
      </c>
      <c r="N7" s="3">
        <v>8.527271223319777E-26</v>
      </c>
    </row>
    <row r="8" spans="1:14" x14ac:dyDescent="0.3">
      <c r="A8" s="1" t="s">
        <v>24</v>
      </c>
      <c r="B8">
        <v>29.040077400000001</v>
      </c>
      <c r="C8">
        <v>125.42004081</v>
      </c>
      <c r="D8" s="2">
        <v>27.810222060000001</v>
      </c>
      <c r="E8">
        <v>858.59025821</v>
      </c>
      <c r="F8">
        <f t="shared" ref="F8:F18" si="0">MIN(B8:E8)</f>
        <v>27.810222060000001</v>
      </c>
      <c r="H8" s="1">
        <v>5</v>
      </c>
      <c r="I8" s="3">
        <v>1.7787150929881259E-24</v>
      </c>
      <c r="J8" s="3">
        <v>1.6979873134703371E-11</v>
      </c>
      <c r="K8" s="4">
        <v>0.85433238441385906</v>
      </c>
      <c r="L8" s="3">
        <v>1.2282867269501571E-11</v>
      </c>
      <c r="M8" s="3">
        <v>4.0725960317100677E-21</v>
      </c>
      <c r="N8" s="3">
        <v>1.6073332676033921E-24</v>
      </c>
    </row>
    <row r="9" spans="1:14" x14ac:dyDescent="0.3">
      <c r="A9" s="1" t="s">
        <v>25</v>
      </c>
      <c r="B9">
        <v>1518.10007081</v>
      </c>
      <c r="C9">
        <v>1723.13002314</v>
      </c>
      <c r="D9">
        <v>1112.4500623500001</v>
      </c>
      <c r="E9" s="2">
        <v>1029.430145</v>
      </c>
      <c r="F9">
        <f t="shared" si="0"/>
        <v>1029.430145</v>
      </c>
      <c r="H9" s="1">
        <v>6</v>
      </c>
      <c r="I9" s="3">
        <v>1.1550268631425989E-6</v>
      </c>
      <c r="J9" s="4">
        <v>3.0863118969446591E-2</v>
      </c>
      <c r="K9" s="3">
        <v>4.3667157709302942E-4</v>
      </c>
      <c r="L9" s="3">
        <v>1.2238834717260621E-8</v>
      </c>
      <c r="M9" s="3">
        <v>1.8640496181545731E-14</v>
      </c>
      <c r="N9" s="4">
        <v>0.429463567771034</v>
      </c>
    </row>
    <row r="10" spans="1:14" x14ac:dyDescent="0.3">
      <c r="A10" s="1" t="s">
        <v>26</v>
      </c>
      <c r="B10">
        <v>88.270026340000001</v>
      </c>
      <c r="C10">
        <v>83.030020289999996</v>
      </c>
      <c r="D10" s="2">
        <v>56.580571579999997</v>
      </c>
      <c r="E10">
        <v>694.54022459999999</v>
      </c>
      <c r="F10">
        <f t="shared" si="0"/>
        <v>56.580571579999997</v>
      </c>
      <c r="H10" s="1">
        <v>7</v>
      </c>
      <c r="I10" s="3">
        <v>4.2269765030858988E-23</v>
      </c>
      <c r="J10" s="4">
        <v>0.55499748862145037</v>
      </c>
      <c r="K10" s="3">
        <v>9.5968904604806565E-4</v>
      </c>
      <c r="L10" s="5">
        <v>5.3079159421919077E-3</v>
      </c>
      <c r="M10" s="3">
        <v>2.445032914408142E-23</v>
      </c>
      <c r="N10" s="3">
        <v>1.5125341574647621E-24</v>
      </c>
    </row>
    <row r="11" spans="1:14" x14ac:dyDescent="0.3">
      <c r="A11" s="1" t="s">
        <v>27</v>
      </c>
      <c r="B11" s="2">
        <v>56.100074249999999</v>
      </c>
      <c r="C11">
        <v>56.48005654</v>
      </c>
      <c r="D11">
        <v>342.37045741999998</v>
      </c>
      <c r="E11">
        <v>541.88020243000005</v>
      </c>
      <c r="F11">
        <f t="shared" si="0"/>
        <v>56.100074249999999</v>
      </c>
      <c r="H11" s="1">
        <v>8</v>
      </c>
      <c r="I11" s="3">
        <v>1.5952638470911469E-22</v>
      </c>
      <c r="J11" s="4">
        <v>0.98135090826719107</v>
      </c>
      <c r="K11" s="3">
        <v>4.9253965340136423E-7</v>
      </c>
      <c r="L11" s="3">
        <v>5.0806087125395222E-7</v>
      </c>
      <c r="M11" s="3">
        <v>1.6794598610026691E-22</v>
      </c>
      <c r="N11" s="5">
        <v>2.37580696353119E-3</v>
      </c>
    </row>
    <row r="12" spans="1:14" x14ac:dyDescent="0.3">
      <c r="A12" s="1" t="s">
        <v>28</v>
      </c>
      <c r="B12">
        <v>86.460101699999996</v>
      </c>
      <c r="C12">
        <v>78.160097989999997</v>
      </c>
      <c r="D12" s="2">
        <v>25.50093395</v>
      </c>
      <c r="E12">
        <v>492.78034285000001</v>
      </c>
      <c r="F12">
        <f t="shared" si="0"/>
        <v>25.50093395</v>
      </c>
      <c r="H12" s="1">
        <v>9</v>
      </c>
      <c r="I12" s="3">
        <v>3.7558271032257123E-24</v>
      </c>
      <c r="J12" s="4">
        <v>0.35978387822445668</v>
      </c>
      <c r="K12" s="3">
        <v>7.5009086455454506E-6</v>
      </c>
      <c r="L12" s="3">
        <v>4.067843353058592E-7</v>
      </c>
      <c r="M12" s="3">
        <v>1.2438559165397591E-24</v>
      </c>
      <c r="N12" s="3">
        <v>1.375324198649142E-28</v>
      </c>
    </row>
    <row r="13" spans="1:14" x14ac:dyDescent="0.3">
      <c r="A13" s="1" t="s">
        <v>29</v>
      </c>
      <c r="B13">
        <v>129.09008668999999</v>
      </c>
      <c r="C13">
        <v>123.10010869</v>
      </c>
      <c r="D13" s="2">
        <v>38.711400230000002</v>
      </c>
      <c r="E13">
        <v>466.05016818000001</v>
      </c>
      <c r="F13">
        <f t="shared" si="0"/>
        <v>38.711400230000002</v>
      </c>
      <c r="H13" s="1">
        <v>10</v>
      </c>
      <c r="I13" s="3">
        <v>2.8268293454454879E-18</v>
      </c>
      <c r="J13" s="4">
        <v>0.83123317089812265</v>
      </c>
      <c r="K13" s="3">
        <v>1.9482042913843039E-4</v>
      </c>
      <c r="L13" s="3">
        <v>2.8457300974427552E-4</v>
      </c>
      <c r="M13" s="3">
        <v>3.499361935148893E-19</v>
      </c>
      <c r="N13" s="3">
        <v>4.1260441746252818E-28</v>
      </c>
    </row>
    <row r="14" spans="1:14" x14ac:dyDescent="0.3">
      <c r="A14" s="1" t="s">
        <v>30</v>
      </c>
      <c r="B14" s="2">
        <v>72.580054959999998</v>
      </c>
      <c r="C14">
        <v>74.020053939999997</v>
      </c>
      <c r="D14">
        <v>134.34114224999999</v>
      </c>
      <c r="E14">
        <v>556.86010595000005</v>
      </c>
      <c r="F14">
        <f t="shared" si="0"/>
        <v>72.580054959999998</v>
      </c>
      <c r="H14" s="1">
        <v>11</v>
      </c>
      <c r="I14" s="3">
        <v>1.257779503553412E-31</v>
      </c>
      <c r="J14" s="4">
        <v>0.2141767335712107</v>
      </c>
      <c r="K14" s="4">
        <v>1.1848817431573811E-2</v>
      </c>
      <c r="L14" s="4">
        <v>1.3915354077712281E-2</v>
      </c>
      <c r="M14" s="3">
        <v>1.5629282924799591E-31</v>
      </c>
      <c r="N14" s="3">
        <v>1.888423280016841E-23</v>
      </c>
    </row>
    <row r="15" spans="1:14" x14ac:dyDescent="0.3">
      <c r="A15" s="1" t="s">
        <v>31</v>
      </c>
      <c r="B15" s="2">
        <v>40.880255949999999</v>
      </c>
      <c r="C15">
        <v>42.430298190000002</v>
      </c>
      <c r="D15">
        <v>147.77005930000001</v>
      </c>
      <c r="E15">
        <v>526.90010787999995</v>
      </c>
      <c r="F15">
        <f t="shared" si="0"/>
        <v>40.880255949999999</v>
      </c>
      <c r="H15" s="1">
        <v>12</v>
      </c>
      <c r="I15" s="3">
        <v>1.5990665832173149E-26</v>
      </c>
      <c r="J15" s="4">
        <v>0.84526228449913743</v>
      </c>
      <c r="K15" s="3">
        <v>4.926835692254963E-9</v>
      </c>
      <c r="L15" s="3">
        <v>9.7131435258157545E-9</v>
      </c>
      <c r="M15" s="3">
        <v>1.9032949608942989E-26</v>
      </c>
      <c r="N15" s="3">
        <v>8.299301964282063E-19</v>
      </c>
    </row>
    <row r="16" spans="1:14" x14ac:dyDescent="0.3">
      <c r="A16" s="1" t="s">
        <v>32</v>
      </c>
      <c r="B16">
        <v>98.080039659999997</v>
      </c>
      <c r="C16">
        <v>98.070039739999999</v>
      </c>
      <c r="D16" s="2">
        <v>33.09003826</v>
      </c>
      <c r="E16">
        <v>590.83013602000005</v>
      </c>
      <c r="F16">
        <f t="shared" si="0"/>
        <v>33.09003826</v>
      </c>
      <c r="H16" s="1">
        <v>13</v>
      </c>
      <c r="I16" s="3">
        <v>9.1414817691599987E-21</v>
      </c>
      <c r="J16" s="4">
        <v>0.90255497452236311</v>
      </c>
      <c r="K16" s="3">
        <v>1.6322766596247479E-66</v>
      </c>
      <c r="L16" s="3">
        <v>1.7637924841014279E-66</v>
      </c>
      <c r="M16" s="3">
        <v>9.1306217349594251E-21</v>
      </c>
      <c r="N16" s="3">
        <v>4.4512400770902497E-24</v>
      </c>
    </row>
    <row r="17" spans="1:14" x14ac:dyDescent="0.3">
      <c r="A17" s="1" t="s">
        <v>33</v>
      </c>
      <c r="B17">
        <v>76.620008690000006</v>
      </c>
      <c r="C17">
        <v>77.660008540000007</v>
      </c>
      <c r="D17" s="2">
        <v>4.7802057400000004</v>
      </c>
      <c r="E17">
        <v>630.51005347</v>
      </c>
      <c r="F17">
        <f t="shared" si="0"/>
        <v>4.7802057400000004</v>
      </c>
      <c r="H17" s="1">
        <v>14</v>
      </c>
      <c r="I17" s="3">
        <v>4.9486624442617869E-21</v>
      </c>
      <c r="J17" s="4">
        <v>0.16053181505063319</v>
      </c>
      <c r="K17" s="3">
        <v>3.0970061372664541E-141</v>
      </c>
      <c r="L17" s="3">
        <v>1.540449217920997E-125</v>
      </c>
      <c r="M17" s="3">
        <v>5.5311900282113537E-21</v>
      </c>
      <c r="N17" s="3">
        <v>2.5966874805097948E-24</v>
      </c>
    </row>
    <row r="18" spans="1:14" x14ac:dyDescent="0.3">
      <c r="A18" s="1" t="s">
        <v>34</v>
      </c>
      <c r="B18">
        <v>69.590004859999993</v>
      </c>
      <c r="C18">
        <v>69.580003500000004</v>
      </c>
      <c r="D18" s="2">
        <v>51.68097255</v>
      </c>
      <c r="E18">
        <v>537.96016050000003</v>
      </c>
      <c r="F18">
        <f t="shared" si="0"/>
        <v>51.68097255</v>
      </c>
      <c r="H18" s="1">
        <v>15</v>
      </c>
      <c r="I18" s="3">
        <v>9.5900181403594689E-19</v>
      </c>
      <c r="J18" s="4">
        <v>0.99233200896955631</v>
      </c>
      <c r="K18" s="4">
        <v>0.5015806082774642</v>
      </c>
      <c r="L18" s="4">
        <v>0.50157167930105762</v>
      </c>
      <c r="M18" s="3">
        <v>9.5680164008585563E-19</v>
      </c>
      <c r="N18" s="3">
        <v>8.8776625025732835E-18</v>
      </c>
    </row>
    <row r="19" spans="1:14" x14ac:dyDescent="0.3">
      <c r="A19" s="1" t="s">
        <v>35</v>
      </c>
      <c r="B19" s="2">
        <v>0</v>
      </c>
      <c r="C19" s="2">
        <v>0</v>
      </c>
      <c r="D19" s="2">
        <v>0</v>
      </c>
      <c r="E19" s="2">
        <v>0</v>
      </c>
      <c r="F19" s="2">
        <v>-1</v>
      </c>
      <c r="H19" s="1">
        <v>16</v>
      </c>
    </row>
    <row r="20" spans="1:14" x14ac:dyDescent="0.3">
      <c r="A20" s="1" t="s">
        <v>36</v>
      </c>
      <c r="B20" s="2">
        <v>0</v>
      </c>
      <c r="C20" s="2">
        <v>0</v>
      </c>
      <c r="D20" s="2">
        <v>0</v>
      </c>
      <c r="E20" s="2">
        <v>0</v>
      </c>
      <c r="F20" s="2">
        <v>-1</v>
      </c>
      <c r="H20" s="1">
        <v>17</v>
      </c>
    </row>
    <row r="21" spans="1:14" x14ac:dyDescent="0.3">
      <c r="B21" cm="1">
        <f t="array" ref="B21">SUMPRODUCT(--(B6:B20 = F6:F20))</f>
        <v>3</v>
      </c>
      <c r="C21" cm="1">
        <f t="array" ref="C21">SUMPRODUCT(--(C6:C20 = F6:F20))</f>
        <v>1</v>
      </c>
      <c r="D21" cm="1">
        <f t="array" ref="D21">SUMPRODUCT(--(D6:D20 = F6:F20))</f>
        <v>7</v>
      </c>
      <c r="E21" cm="1">
        <f t="array" ref="E21">SUMPRODUCT(--(E6:E20 = F6:F20))</f>
        <v>1</v>
      </c>
      <c r="F21">
        <f>SUM(B21:E21)</f>
        <v>12</v>
      </c>
    </row>
    <row r="22" spans="1:14" x14ac:dyDescent="0.3">
      <c r="B22">
        <f>AVERAGE(B6:B19)</f>
        <v>162.85435217</v>
      </c>
      <c r="C22">
        <f t="shared" ref="C22:E22" si="1">AVERAGE(C6:C19)</f>
        <v>183.29291471500002</v>
      </c>
      <c r="D22">
        <f t="shared" si="1"/>
        <v>142.77051046142856</v>
      </c>
      <c r="E22">
        <f t="shared" si="1"/>
        <v>553.48156685071422</v>
      </c>
      <c r="H22" t="s">
        <v>47</v>
      </c>
      <c r="I22">
        <f>COUNTIF(I7:I20, "&lt;0.001")</f>
        <v>12</v>
      </c>
      <c r="J22">
        <f t="shared" ref="J22:M22" si="2">COUNTIF(J7:J20, "&lt;0.001")</f>
        <v>1</v>
      </c>
      <c r="K22">
        <f t="shared" si="2"/>
        <v>8</v>
      </c>
      <c r="L22">
        <f t="shared" si="2"/>
        <v>8</v>
      </c>
      <c r="M22">
        <f t="shared" si="2"/>
        <v>12</v>
      </c>
      <c r="N22">
        <f>COUNTIF(N7:N20, "&lt;0.001")</f>
        <v>10</v>
      </c>
    </row>
    <row r="23" spans="1:14" x14ac:dyDescent="0.3">
      <c r="H23" t="s">
        <v>48</v>
      </c>
      <c r="I23">
        <f>COUNTIF(I7:I20, "&lt;0.0083")-I22</f>
        <v>0</v>
      </c>
      <c r="J23">
        <f t="shared" ref="J23:N23" si="3">COUNTIF(J7:J20, "&lt;0.0083")-J22</f>
        <v>0</v>
      </c>
      <c r="K23">
        <f t="shared" si="3"/>
        <v>0</v>
      </c>
      <c r="L23">
        <f t="shared" si="3"/>
        <v>1</v>
      </c>
      <c r="M23">
        <f t="shared" si="3"/>
        <v>0</v>
      </c>
      <c r="N23">
        <f t="shared" si="3"/>
        <v>1</v>
      </c>
    </row>
    <row r="24" spans="1:14" x14ac:dyDescent="0.3">
      <c r="H24" s="6" t="s">
        <v>49</v>
      </c>
      <c r="I24">
        <f>COUNTIF(I8:I21, "&gt;=0.0083")</f>
        <v>0</v>
      </c>
      <c r="J24">
        <f>COUNTIF(J7:J21, "&gt;=0.0083")</f>
        <v>11</v>
      </c>
      <c r="K24">
        <f t="shared" ref="K24:N24" si="4">COUNTIF(K7:K21, "&gt;=0.0083")</f>
        <v>4</v>
      </c>
      <c r="L24">
        <f t="shared" si="4"/>
        <v>3</v>
      </c>
      <c r="M24">
        <f t="shared" si="4"/>
        <v>0</v>
      </c>
      <c r="N24">
        <f t="shared" si="4"/>
        <v>1</v>
      </c>
    </row>
    <row r="25" spans="1:14" x14ac:dyDescent="0.3">
      <c r="A25" t="s">
        <v>45</v>
      </c>
    </row>
    <row r="26" spans="1:14" x14ac:dyDescent="0.3">
      <c r="B26" s="1" t="s">
        <v>4</v>
      </c>
      <c r="C26" s="1" t="s">
        <v>5</v>
      </c>
      <c r="D26" s="1" t="s">
        <v>6</v>
      </c>
      <c r="E26" s="1" t="s">
        <v>7</v>
      </c>
    </row>
    <row r="27" spans="1:14" x14ac:dyDescent="0.3">
      <c r="A27" s="1" t="s">
        <v>19</v>
      </c>
      <c r="B27">
        <v>0</v>
      </c>
      <c r="C27">
        <v>0</v>
      </c>
      <c r="D27">
        <v>0</v>
      </c>
      <c r="E27">
        <v>0</v>
      </c>
    </row>
    <row r="28" spans="1:14" x14ac:dyDescent="0.3">
      <c r="A28" s="1" t="s">
        <v>20</v>
      </c>
      <c r="B28">
        <v>0</v>
      </c>
      <c r="C28">
        <v>0</v>
      </c>
      <c r="D28">
        <v>0</v>
      </c>
      <c r="E28">
        <v>0</v>
      </c>
    </row>
    <row r="29" spans="1:14" x14ac:dyDescent="0.3">
      <c r="A29" s="1" t="s">
        <v>21</v>
      </c>
      <c r="B29">
        <v>0</v>
      </c>
      <c r="C29">
        <v>0</v>
      </c>
      <c r="D29">
        <v>0</v>
      </c>
      <c r="E29">
        <v>0</v>
      </c>
    </row>
    <row r="30" spans="1:14" x14ac:dyDescent="0.3">
      <c r="A30" s="1" t="s">
        <v>22</v>
      </c>
      <c r="B30">
        <v>0</v>
      </c>
      <c r="C30">
        <v>0</v>
      </c>
      <c r="D30">
        <v>0</v>
      </c>
      <c r="E30">
        <v>0</v>
      </c>
    </row>
    <row r="31" spans="1:14" x14ac:dyDescent="0.3">
      <c r="A31" s="1" t="s">
        <v>23</v>
      </c>
      <c r="B31">
        <v>1.8887790499999999</v>
      </c>
      <c r="C31">
        <v>1.81095326</v>
      </c>
      <c r="D31">
        <v>60.646776389999999</v>
      </c>
      <c r="E31">
        <v>557.26151189999996</v>
      </c>
    </row>
    <row r="32" spans="1:14" x14ac:dyDescent="0.3">
      <c r="A32" s="1" t="s">
        <v>24</v>
      </c>
      <c r="B32">
        <v>45.884598799999999</v>
      </c>
      <c r="C32">
        <v>121.288156</v>
      </c>
      <c r="D32">
        <v>48.223506700000002</v>
      </c>
      <c r="E32">
        <v>605.36073400999999</v>
      </c>
    </row>
    <row r="33" spans="1:5" x14ac:dyDescent="0.3">
      <c r="A33" s="1" t="s">
        <v>25</v>
      </c>
      <c r="B33">
        <v>748.54931799999997</v>
      </c>
      <c r="C33">
        <v>564.76850000000002</v>
      </c>
      <c r="D33">
        <v>843.89754415000004</v>
      </c>
      <c r="E33">
        <v>613.14220375000002</v>
      </c>
    </row>
    <row r="34" spans="1:5" x14ac:dyDescent="0.3">
      <c r="A34" s="1" t="s">
        <v>26</v>
      </c>
      <c r="B34">
        <v>62.869512</v>
      </c>
      <c r="C34">
        <v>61.824332300000002</v>
      </c>
      <c r="D34">
        <v>69.932265599999994</v>
      </c>
      <c r="E34">
        <v>465.17525443</v>
      </c>
    </row>
    <row r="35" spans="1:5" x14ac:dyDescent="0.3">
      <c r="A35" s="1" t="s">
        <v>27</v>
      </c>
      <c r="B35">
        <v>114.224902</v>
      </c>
      <c r="C35">
        <v>114.224552</v>
      </c>
      <c r="D35">
        <v>519.95745337000005</v>
      </c>
      <c r="E35">
        <v>380.07283703000002</v>
      </c>
    </row>
    <row r="36" spans="1:5" x14ac:dyDescent="0.3">
      <c r="A36" s="1" t="s">
        <v>28</v>
      </c>
      <c r="B36">
        <v>89.7558164</v>
      </c>
      <c r="C36">
        <v>0.92433795699999999</v>
      </c>
      <c r="D36">
        <v>96.530341050000004</v>
      </c>
      <c r="E36">
        <v>300.70042319999999</v>
      </c>
    </row>
    <row r="37" spans="1:5" x14ac:dyDescent="0.3">
      <c r="A37" s="1" t="s">
        <v>29</v>
      </c>
      <c r="B37">
        <v>202.87580500000001</v>
      </c>
      <c r="C37">
        <v>191.937173</v>
      </c>
      <c r="D37">
        <v>120.18335688000001</v>
      </c>
      <c r="E37">
        <v>278.32556484999998</v>
      </c>
    </row>
    <row r="38" spans="1:5" x14ac:dyDescent="0.3">
      <c r="A38" s="1" t="s">
        <v>30</v>
      </c>
      <c r="B38">
        <v>7.6735629899999998</v>
      </c>
      <c r="C38">
        <v>8.5615182399999998</v>
      </c>
      <c r="D38">
        <v>239.55255004</v>
      </c>
      <c r="E38">
        <v>279.1350448</v>
      </c>
    </row>
    <row r="39" spans="1:5" x14ac:dyDescent="0.3">
      <c r="A39" s="1" t="s">
        <v>31</v>
      </c>
      <c r="B39">
        <v>52.999963800000003</v>
      </c>
      <c r="C39">
        <v>58.473695900000003</v>
      </c>
      <c r="D39">
        <v>160.12621282000001</v>
      </c>
      <c r="E39">
        <v>331.55170145</v>
      </c>
    </row>
    <row r="40" spans="1:5" x14ac:dyDescent="0.3">
      <c r="A40" s="1" t="s">
        <v>32</v>
      </c>
      <c r="B40">
        <v>0.61122945900000003</v>
      </c>
      <c r="C40">
        <v>0.53394685099999994</v>
      </c>
      <c r="D40">
        <v>14.842558199999999</v>
      </c>
      <c r="E40">
        <v>412.59800697999998</v>
      </c>
    </row>
    <row r="41" spans="1:5" x14ac:dyDescent="0.3">
      <c r="A41" s="1" t="s">
        <v>33</v>
      </c>
      <c r="B41">
        <v>7.2370995300000001</v>
      </c>
      <c r="C41">
        <v>1.10652208</v>
      </c>
      <c r="D41">
        <v>4.9649821200000002</v>
      </c>
      <c r="E41">
        <v>458.98323140999997</v>
      </c>
    </row>
    <row r="42" spans="1:5" x14ac:dyDescent="0.3">
      <c r="A42" s="1" t="s">
        <v>34</v>
      </c>
      <c r="B42">
        <v>9.7170913700000003</v>
      </c>
      <c r="C42">
        <v>3.51618985</v>
      </c>
      <c r="D42">
        <v>264.01795133000002</v>
      </c>
      <c r="E42">
        <v>425.76106892000001</v>
      </c>
    </row>
    <row r="43" spans="1:5" x14ac:dyDescent="0.3">
      <c r="A43" s="1" t="s">
        <v>35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 t="s">
        <v>36</v>
      </c>
      <c r="B44">
        <v>0</v>
      </c>
      <c r="C44">
        <v>0</v>
      </c>
      <c r="D44">
        <v>0</v>
      </c>
      <c r="E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Structural Fidelity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Prajwal Agrawal</cp:lastModifiedBy>
  <dcterms:created xsi:type="dcterms:W3CDTF">2026-02-15T00:40:38Z</dcterms:created>
  <dcterms:modified xsi:type="dcterms:W3CDTF">2026-02-15T01:26:26Z</dcterms:modified>
</cp:coreProperties>
</file>