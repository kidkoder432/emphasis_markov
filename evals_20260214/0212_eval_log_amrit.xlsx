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ndp\emphasis_markov\evals_20260214\"/>
    </mc:Choice>
  </mc:AlternateContent>
  <xr:revisionPtr revIDLastSave="0" documentId="13_ncr:1_{CEAB5DC7-8E5F-4944-9277-1CA9D1A38B5F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Metrics" sheetId="1" r:id="rId1"/>
    <sheet name="Structural Fidelit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2" l="1"/>
  <c r="D39" i="2"/>
  <c r="C39" i="2"/>
  <c r="B39" i="2"/>
  <c r="N21" i="2"/>
  <c r="M21" i="2"/>
  <c r="L21" i="2"/>
  <c r="K21" i="2"/>
  <c r="J21" i="2"/>
  <c r="I21" i="2"/>
  <c r="N20" i="2"/>
  <c r="M20" i="2"/>
  <c r="N19" i="2"/>
  <c r="M19" i="2"/>
  <c r="L19" i="2"/>
  <c r="L20" i="2" s="1"/>
  <c r="K19" i="2"/>
  <c r="K20" i="2" s="1"/>
  <c r="J19" i="2"/>
  <c r="J20" i="2" s="1"/>
  <c r="I19" i="2"/>
  <c r="I20" i="2" s="1"/>
  <c r="E19" i="2"/>
  <c r="D19" i="2"/>
  <c r="C19" i="2"/>
  <c r="B19" i="2"/>
  <c r="F16" i="2"/>
  <c r="F15" i="2"/>
  <c r="F14" i="2"/>
  <c r="F13" i="2"/>
  <c r="F12" i="2"/>
  <c r="F11" i="2"/>
  <c r="F10" i="2"/>
  <c r="F9" i="2"/>
  <c r="F8" i="2"/>
  <c r="F7" i="2"/>
  <c r="F6" i="2"/>
  <c r="C18" i="2" l="1" a="1"/>
  <c r="C18" i="2" s="1"/>
  <c r="D18" i="2" a="1"/>
  <c r="D18" i="2" s="1"/>
  <c r="B18" i="2" a="1"/>
  <c r="B18" i="2" s="1"/>
  <c r="E18" i="2" a="1"/>
  <c r="E18" i="2" s="1"/>
  <c r="F1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<sst xmlns="http://schemas.openxmlformats.org/spreadsheetml/2006/main" count="76" uniqueCount="47">
  <si>
    <t>Unique Tags (%)</t>
  </si>
  <si>
    <t>Vocab Size</t>
  </si>
  <si>
    <t>Phrase Length</t>
  </si>
  <si>
    <t>Rules Broken</t>
  </si>
  <si>
    <t>Full Model</t>
  </si>
  <si>
    <t>Tags-Only</t>
  </si>
  <si>
    <t>Emphasis-Only</t>
  </si>
  <si>
    <t>Base Model</t>
  </si>
  <si>
    <t>Comparison</t>
  </si>
  <si>
    <t>P-Value</t>
  </si>
  <si>
    <t>Full Model vs. Base Model</t>
  </si>
  <si>
    <t>Full Model vs. Tags-Only</t>
  </si>
  <si>
    <t>Full Model vs. Emphasis-Only</t>
  </si>
  <si>
    <t>Tags-Only vs. Base Model</t>
  </si>
  <si>
    <t>Tags-Only vs. Emphasis-Only</t>
  </si>
  <si>
    <t>Emphasis-Only vs. Base Model</t>
  </si>
  <si>
    <t>Mean Metrics</t>
  </si>
  <si>
    <t>Standard Deviation of Metrics</t>
  </si>
  <si>
    <t>Vocab Size T-Test P-Values</t>
  </si>
  <si>
    <t>Note 0</t>
  </si>
  <si>
    <t>Note 1</t>
  </si>
  <si>
    <t>Note 2</t>
  </si>
  <si>
    <t>Note 3</t>
  </si>
  <si>
    <t>Note 4</t>
  </si>
  <si>
    <t>Note 5</t>
  </si>
  <si>
    <t>Note 6</t>
  </si>
  <si>
    <t>Note 7</t>
  </si>
  <si>
    <t>Note 8</t>
  </si>
  <si>
    <t>Note 9</t>
  </si>
  <si>
    <t>Note 10</t>
  </si>
  <si>
    <t>Note 11</t>
  </si>
  <si>
    <t>Note 12</t>
  </si>
  <si>
    <t>Note 13</t>
  </si>
  <si>
    <t>Note 14</t>
  </si>
  <si>
    <t>full vs base</t>
  </si>
  <si>
    <t>full vs tags</t>
  </si>
  <si>
    <t>full vs emphasis</t>
  </si>
  <si>
    <t>tags vs emphasis</t>
  </si>
  <si>
    <t>tags vs base</t>
  </si>
  <si>
    <t>emphasis vs base</t>
  </si>
  <si>
    <t>Note</t>
  </si>
  <si>
    <t>Raw Distance Values (Lower is Better)</t>
  </si>
  <si>
    <t>Standard Deviations of Distance</t>
  </si>
  <si>
    <t>Structural Fidelity T-Test P-Values</t>
  </si>
  <si>
    <t>p &lt; 0.001</t>
  </si>
  <si>
    <t>p &lt; 0.0083</t>
  </si>
  <si>
    <t>p &gt; 0.0083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</si>
</sst>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4EDDA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FFF3C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/>
  </sheetViews>
  <sheetFormatPr defaultRowHeight="14.4" x14ac:dyDescent="0.3"/>
  <sheetData>
    <row r="1" spans="1:8" x14ac:dyDescent="0.3">
      <c r="A1" t="s">
        <v>16</v>
      </c>
      <c r="G1" t="s">
        <v>18</v>
      </c>
    </row>
    <row r="2" spans="1:8" x14ac:dyDescent="0.3">
      <c r="B2" s="1" t="s">
        <v>0</v>
      </c>
      <c r="C2" s="1" t="s">
        <v>1</v>
      </c>
      <c r="D2" s="1" t="s">
        <v>2</v>
      </c>
      <c r="E2" s="1" t="s">
        <v>3</v>
      </c>
      <c r="G2" s="1" t="s">
        <v>8</v>
      </c>
      <c r="H2" s="1" t="s">
        <v>9</v>
      </c>
    </row>
    <row r="3" spans="1:8" x14ac:dyDescent="0.3">
      <c r="A3" s="1" t="s">
        <v>4</v>
      </c>
      <c r="B3">
        <v>100</v>
      </c>
      <c r="C3">
        <v>112.47</v>
      </c>
      <c r="D3">
        <v>7.1502857142857126</v>
      </c>
      <c r="E3">
        <v>0.04</v>
      </c>
      <c r="G3" t="s">
        <v>10</v>
      </c>
      <c r="H3">
        <v>1.249471642673238E-127</v>
      </c>
    </row>
    <row r="4" spans="1:8" x14ac:dyDescent="0.3">
      <c r="A4" s="1" t="s">
        <v>5</v>
      </c>
      <c r="B4">
        <v>100</v>
      </c>
      <c r="C4">
        <v>97.47</v>
      </c>
      <c r="D4">
        <v>4.8651428571428577</v>
      </c>
      <c r="E4">
        <v>0</v>
      </c>
      <c r="G4" t="s">
        <v>11</v>
      </c>
      <c r="H4">
        <v>5.4042591992882812E-22</v>
      </c>
    </row>
    <row r="5" spans="1:8" x14ac:dyDescent="0.3">
      <c r="A5" s="1" t="s">
        <v>6</v>
      </c>
      <c r="B5">
        <v>69.696969696969774</v>
      </c>
      <c r="C5">
        <v>132.56</v>
      </c>
      <c r="D5">
        <v>5.3211627906976737</v>
      </c>
      <c r="E5">
        <v>0.81</v>
      </c>
      <c r="G5" t="s">
        <v>12</v>
      </c>
      <c r="H5">
        <v>1.6905332145242319E-26</v>
      </c>
    </row>
    <row r="6" spans="1:8" x14ac:dyDescent="0.3">
      <c r="A6" s="1" t="s">
        <v>7</v>
      </c>
      <c r="B6">
        <v>69.696969696969774</v>
      </c>
      <c r="C6">
        <v>215.58</v>
      </c>
      <c r="D6">
        <v>7.2251162790697672</v>
      </c>
      <c r="E6">
        <v>0.92</v>
      </c>
      <c r="G6" t="s">
        <v>13</v>
      </c>
      <c r="H6">
        <v>6.8583278222378303E-124</v>
      </c>
    </row>
    <row r="7" spans="1:8" x14ac:dyDescent="0.3">
      <c r="G7" t="s">
        <v>14</v>
      </c>
      <c r="H7">
        <v>7.9501222970375949E-61</v>
      </c>
    </row>
    <row r="8" spans="1:8" x14ac:dyDescent="0.3">
      <c r="A8" t="s">
        <v>17</v>
      </c>
      <c r="G8" t="s">
        <v>15</v>
      </c>
      <c r="H8">
        <v>6.7771691189938926E-111</v>
      </c>
    </row>
    <row r="9" spans="1:8" x14ac:dyDescent="0.3">
      <c r="B9" s="1" t="s">
        <v>1</v>
      </c>
      <c r="C9" s="1" t="s">
        <v>2</v>
      </c>
    </row>
    <row r="10" spans="1:8" x14ac:dyDescent="0.3">
      <c r="A10" s="1" t="s">
        <v>4</v>
      </c>
      <c r="B10">
        <v>11.55461379709422</v>
      </c>
      <c r="C10">
        <v>1.468836107332633</v>
      </c>
    </row>
    <row r="11" spans="1:8" x14ac:dyDescent="0.3">
      <c r="A11" s="1" t="s">
        <v>5</v>
      </c>
      <c r="B11">
        <v>6.3457938825650491</v>
      </c>
      <c r="C11">
        <v>0.48507655612915618</v>
      </c>
    </row>
    <row r="12" spans="1:8" x14ac:dyDescent="0.3">
      <c r="A12" s="1" t="s">
        <v>6</v>
      </c>
      <c r="B12">
        <v>11.242170608917119</v>
      </c>
      <c r="C12">
        <v>0.41856194872632552</v>
      </c>
    </row>
    <row r="13" spans="1:8" x14ac:dyDescent="0.3">
      <c r="A13" s="1" t="s">
        <v>7</v>
      </c>
      <c r="B13">
        <v>12.75082742413213</v>
      </c>
      <c r="C13">
        <v>0.59332760088220382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"/>
  <sheetViews>
    <sheetView tabSelected="1" workbookViewId="0">
      <selection activeCell="A18" sqref="A18:F19"/>
    </sheetView>
  </sheetViews>
  <sheetFormatPr defaultRowHeight="14.4" x14ac:dyDescent="0.3"/>
  <cols>
    <col min="2" max="6" width="14.21875" customWidth="1"/>
    <col min="7" max="7" width="8.88671875" customWidth="1"/>
    <col min="9" max="14" width="16.5546875" customWidth="1"/>
  </cols>
  <sheetData>
    <row r="1" spans="1:14" x14ac:dyDescent="0.3">
      <c r="A1" t="s">
        <v>41</v>
      </c>
      <c r="H1" t="s">
        <v>43</v>
      </c>
    </row>
    <row r="2" spans="1:14" x14ac:dyDescent="0.3">
      <c r="B2" s="1" t="s">
        <v>4</v>
      </c>
      <c r="C2" s="1" t="s">
        <v>5</v>
      </c>
      <c r="D2" s="1" t="s">
        <v>6</v>
      </c>
      <c r="E2" s="1" t="s">
        <v>7</v>
      </c>
      <c r="F2" s="6"/>
      <c r="H2" s="1" t="s">
        <v>40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</row>
    <row r="3" spans="1:14" x14ac:dyDescent="0.3">
      <c r="A3" s="1" t="s">
        <v>19</v>
      </c>
      <c r="B3" s="2">
        <v>0</v>
      </c>
      <c r="C3" s="2">
        <v>0</v>
      </c>
      <c r="D3" s="2">
        <v>0</v>
      </c>
      <c r="E3" s="2">
        <v>0</v>
      </c>
      <c r="F3" s="2">
        <v>-1</v>
      </c>
      <c r="H3" s="1">
        <v>0</v>
      </c>
    </row>
    <row r="4" spans="1:14" x14ac:dyDescent="0.3">
      <c r="A4" s="1" t="s">
        <v>20</v>
      </c>
      <c r="B4" s="2">
        <v>0</v>
      </c>
      <c r="C4" s="2">
        <v>0</v>
      </c>
      <c r="D4" s="2">
        <v>0</v>
      </c>
      <c r="E4" s="2">
        <v>0</v>
      </c>
      <c r="F4" s="2">
        <v>-1</v>
      </c>
      <c r="H4" s="1">
        <v>1</v>
      </c>
    </row>
    <row r="5" spans="1:14" x14ac:dyDescent="0.3">
      <c r="A5" s="1" t="s">
        <v>21</v>
      </c>
      <c r="B5" s="2">
        <v>0</v>
      </c>
      <c r="C5" s="2">
        <v>0</v>
      </c>
      <c r="D5" s="2">
        <v>0</v>
      </c>
      <c r="E5" s="2">
        <v>0</v>
      </c>
      <c r="F5" s="2">
        <v>-1</v>
      </c>
      <c r="H5" s="1">
        <v>2</v>
      </c>
    </row>
    <row r="6" spans="1:14" x14ac:dyDescent="0.3">
      <c r="A6" s="1" t="s">
        <v>22</v>
      </c>
      <c r="B6">
        <v>100.91003916</v>
      </c>
      <c r="C6">
        <v>100.1200473</v>
      </c>
      <c r="D6" s="2">
        <v>14.140488059999999</v>
      </c>
      <c r="E6">
        <v>899.69008836</v>
      </c>
      <c r="F6">
        <f>MIN(B6:E6)</f>
        <v>14.140488059999999</v>
      </c>
      <c r="H6" s="1">
        <v>3</v>
      </c>
      <c r="I6" s="3">
        <v>2.4455083098510229E-25</v>
      </c>
      <c r="J6" s="4">
        <v>0.15304493346816939</v>
      </c>
      <c r="K6" s="3">
        <v>1.5886220056015099E-48</v>
      </c>
      <c r="L6" s="3">
        <v>2.9311015794005318E-47</v>
      </c>
      <c r="M6" s="3">
        <v>2.2923773278508451E-25</v>
      </c>
      <c r="N6" s="3">
        <v>1.9820379594694459E-28</v>
      </c>
    </row>
    <row r="7" spans="1:14" x14ac:dyDescent="0.3">
      <c r="A7" s="1" t="s">
        <v>23</v>
      </c>
      <c r="B7">
        <v>649.82029367999996</v>
      </c>
      <c r="C7" s="2">
        <v>615.85028040999998</v>
      </c>
      <c r="D7">
        <v>1192.31006447</v>
      </c>
      <c r="E7">
        <v>992.07028438999998</v>
      </c>
      <c r="F7">
        <f t="shared" ref="F7:F16" si="0">MIN(B7:E7)</f>
        <v>615.85028040999998</v>
      </c>
      <c r="H7" s="1">
        <v>4</v>
      </c>
      <c r="I7" s="5">
        <v>1.516087938391793E-3</v>
      </c>
      <c r="J7" s="4">
        <v>0.78352960490369128</v>
      </c>
      <c r="K7" s="3">
        <v>3.5586527180206073E-5</v>
      </c>
      <c r="L7" s="3">
        <v>9.2727238049034002E-6</v>
      </c>
      <c r="M7" s="3">
        <v>4.0162980024303219E-4</v>
      </c>
      <c r="N7" s="4">
        <v>7.0029366815638205E-2</v>
      </c>
    </row>
    <row r="8" spans="1:14" x14ac:dyDescent="0.3">
      <c r="A8" s="1" t="s">
        <v>24</v>
      </c>
      <c r="B8">
        <v>133.07005941</v>
      </c>
      <c r="C8">
        <v>137.52008660000001</v>
      </c>
      <c r="D8" s="2">
        <v>35.171628929999997</v>
      </c>
      <c r="E8">
        <v>857.71014505999995</v>
      </c>
      <c r="F8">
        <f t="shared" si="0"/>
        <v>35.171628929999997</v>
      </c>
      <c r="H8" s="1">
        <v>5</v>
      </c>
      <c r="I8" s="3">
        <v>8.3712591606645251E-22</v>
      </c>
      <c r="J8" s="4">
        <v>0.78179585038795496</v>
      </c>
      <c r="K8" s="3">
        <v>1.166772073829752E-13</v>
      </c>
      <c r="L8" s="3">
        <v>1.0280220326804561E-12</v>
      </c>
      <c r="M8" s="3">
        <v>1.237743956274337E-21</v>
      </c>
      <c r="N8" s="3">
        <v>2.6158512083986812E-25</v>
      </c>
    </row>
    <row r="9" spans="1:14" x14ac:dyDescent="0.3">
      <c r="A9" s="1" t="s">
        <v>25</v>
      </c>
      <c r="B9" s="2">
        <v>174.45014434999999</v>
      </c>
      <c r="C9">
        <v>202.05015771000001</v>
      </c>
      <c r="D9">
        <v>188.37019541999999</v>
      </c>
      <c r="E9">
        <v>809.30013327999995</v>
      </c>
      <c r="F9">
        <f t="shared" si="0"/>
        <v>174.45014434999999</v>
      </c>
      <c r="H9" s="1">
        <v>6</v>
      </c>
      <c r="I9" s="3">
        <v>5.6274661877330542E-20</v>
      </c>
      <c r="J9" s="4">
        <v>0.32269641806218641</v>
      </c>
      <c r="K9" s="4">
        <v>0.76535310752616637</v>
      </c>
      <c r="L9" s="4">
        <v>0.78649228293510454</v>
      </c>
      <c r="M9" s="3">
        <v>2.6570052306774221E-18</v>
      </c>
      <c r="N9" s="3">
        <v>8.673501822661161E-16</v>
      </c>
    </row>
    <row r="10" spans="1:14" x14ac:dyDescent="0.3">
      <c r="A10" s="1" t="s">
        <v>26</v>
      </c>
      <c r="B10">
        <v>221.87011394000001</v>
      </c>
      <c r="C10">
        <v>216.80013665999999</v>
      </c>
      <c r="D10" s="2">
        <v>90.113585839999999</v>
      </c>
      <c r="E10">
        <v>712.70022027000005</v>
      </c>
      <c r="F10">
        <f t="shared" si="0"/>
        <v>90.113585839999999</v>
      </c>
      <c r="H10" s="1">
        <v>7</v>
      </c>
      <c r="I10" s="3">
        <v>1.258450106968837E-17</v>
      </c>
      <c r="J10" s="4">
        <v>0.34366601444854938</v>
      </c>
      <c r="K10" s="3">
        <v>5.5985271934523161E-31</v>
      </c>
      <c r="L10" s="3">
        <v>9.9766049511291325E-30</v>
      </c>
      <c r="M10" s="3">
        <v>7.2551704966628282E-18</v>
      </c>
      <c r="N10" s="3">
        <v>1.079093042125839E-23</v>
      </c>
    </row>
    <row r="11" spans="1:14" x14ac:dyDescent="0.3">
      <c r="A11" s="1" t="s">
        <v>27</v>
      </c>
      <c r="B11">
        <v>36.660111350000001</v>
      </c>
      <c r="C11" s="2">
        <v>34.95020092</v>
      </c>
      <c r="D11">
        <v>49.950531259999998</v>
      </c>
      <c r="E11">
        <v>588.17014131999997</v>
      </c>
      <c r="F11">
        <f t="shared" si="0"/>
        <v>34.95020092</v>
      </c>
      <c r="H11" s="1">
        <v>8</v>
      </c>
      <c r="I11" s="3">
        <v>1.1846211613690331E-30</v>
      </c>
      <c r="J11" s="4">
        <v>0.10764278417044471</v>
      </c>
      <c r="K11" s="4">
        <v>4.7927665095133028E-2</v>
      </c>
      <c r="L11" s="4">
        <v>2.5021776335364409E-2</v>
      </c>
      <c r="M11" s="3">
        <v>9.5624782091762696E-31</v>
      </c>
      <c r="N11" s="3">
        <v>3.4276646157423307E-30</v>
      </c>
    </row>
    <row r="12" spans="1:14" x14ac:dyDescent="0.3">
      <c r="A12" s="1" t="s">
        <v>28</v>
      </c>
      <c r="B12">
        <v>150.35003284999999</v>
      </c>
      <c r="C12">
        <v>123.81004088</v>
      </c>
      <c r="D12" s="2">
        <v>19.15964688</v>
      </c>
      <c r="E12">
        <v>526.89035058000002</v>
      </c>
      <c r="F12">
        <f t="shared" si="0"/>
        <v>19.15964688</v>
      </c>
      <c r="H12" s="1">
        <v>9</v>
      </c>
      <c r="I12" s="3">
        <v>1.9316042788454759E-22</v>
      </c>
      <c r="J12" s="3">
        <v>2.6137656869448831E-19</v>
      </c>
      <c r="K12" s="3">
        <v>8.9193665933071103E-26</v>
      </c>
      <c r="L12" s="3">
        <v>1.5760570461906771E-19</v>
      </c>
      <c r="M12" s="3">
        <v>2.59051783536026E-24</v>
      </c>
      <c r="N12" s="3">
        <v>5.152195718140765E-32</v>
      </c>
    </row>
    <row r="13" spans="1:14" x14ac:dyDescent="0.3">
      <c r="A13" s="1" t="s">
        <v>29</v>
      </c>
      <c r="B13">
        <v>154.50001735000001</v>
      </c>
      <c r="C13">
        <v>154.52001659999999</v>
      </c>
      <c r="D13" s="2">
        <v>44.180792660000002</v>
      </c>
      <c r="E13">
        <v>525.37058852999996</v>
      </c>
      <c r="F13">
        <f t="shared" si="0"/>
        <v>44.180792660000002</v>
      </c>
      <c r="H13" s="1">
        <v>10</v>
      </c>
      <c r="I13" s="3">
        <v>2.5182350531806199E-15</v>
      </c>
      <c r="J13" s="4">
        <v>0.98544891746330943</v>
      </c>
      <c r="K13" s="3">
        <v>4.2588167693028718E-19</v>
      </c>
      <c r="L13" s="3">
        <v>4.2286902799332938E-19</v>
      </c>
      <c r="M13" s="3">
        <v>2.525950318419538E-15</v>
      </c>
      <c r="N13" s="3">
        <v>2.4389024956805862E-21</v>
      </c>
    </row>
    <row r="14" spans="1:14" x14ac:dyDescent="0.3">
      <c r="A14" s="1" t="s">
        <v>30</v>
      </c>
      <c r="B14">
        <v>169.72000793000001</v>
      </c>
      <c r="C14" s="2">
        <v>169.54000879</v>
      </c>
      <c r="D14">
        <v>192.01000973000001</v>
      </c>
      <c r="E14">
        <v>602.54025465999996</v>
      </c>
      <c r="F14">
        <f t="shared" si="0"/>
        <v>169.54000879</v>
      </c>
      <c r="H14" s="1">
        <v>11</v>
      </c>
      <c r="I14" s="3">
        <v>1.3438948128531471E-16</v>
      </c>
      <c r="J14" s="4">
        <v>4.7986466243017598E-2</v>
      </c>
      <c r="K14" s="4">
        <v>3.6882347397218553E-2</v>
      </c>
      <c r="L14" s="4">
        <v>3.5418688869840037E-2</v>
      </c>
      <c r="M14" s="3">
        <v>1.3162277147320171E-16</v>
      </c>
      <c r="N14" s="3">
        <v>2.832624256986965E-15</v>
      </c>
    </row>
    <row r="15" spans="1:14" x14ac:dyDescent="0.3">
      <c r="A15" s="1" t="s">
        <v>31</v>
      </c>
      <c r="B15">
        <v>176.34000477999999</v>
      </c>
      <c r="C15">
        <v>170.58000475</v>
      </c>
      <c r="D15" s="2">
        <v>29.530042120000001</v>
      </c>
      <c r="E15">
        <v>716.20009792999997</v>
      </c>
      <c r="F15">
        <f t="shared" si="0"/>
        <v>29.530042120000001</v>
      </c>
      <c r="H15" s="1">
        <v>12</v>
      </c>
      <c r="I15" s="3">
        <v>4.8302203817966799E-20</v>
      </c>
      <c r="J15" s="4">
        <v>0.3155645061017735</v>
      </c>
      <c r="K15" s="3">
        <v>3.2826407449108659E-74</v>
      </c>
      <c r="L15" s="3">
        <v>4.2738633729854998E-65</v>
      </c>
      <c r="M15" s="3">
        <v>2.6192039263500231E-20</v>
      </c>
      <c r="N15" s="3">
        <v>1.265795997774702E-26</v>
      </c>
    </row>
    <row r="16" spans="1:14" x14ac:dyDescent="0.3">
      <c r="A16" s="1" t="s">
        <v>32</v>
      </c>
      <c r="B16">
        <v>158.11001024000001</v>
      </c>
      <c r="C16">
        <v>157.02001035000001</v>
      </c>
      <c r="D16" s="2">
        <v>2.9282563499999998</v>
      </c>
      <c r="E16">
        <v>653.31015878000005</v>
      </c>
      <c r="F16">
        <f t="shared" si="0"/>
        <v>2.9282563499999998</v>
      </c>
      <c r="H16" s="1">
        <v>13</v>
      </c>
      <c r="I16" s="3">
        <v>2.2574085932670099E-16</v>
      </c>
      <c r="J16" s="4">
        <v>0.37246133630001932</v>
      </c>
      <c r="K16" s="3">
        <v>6.0038466556630813E-174</v>
      </c>
      <c r="L16" s="3">
        <v>1.658250403047883E-171</v>
      </c>
      <c r="M16" s="3">
        <v>2.0237661820010921E-16</v>
      </c>
      <c r="N16" s="3">
        <v>5.0903388634165872E-23</v>
      </c>
    </row>
    <row r="17" spans="1:14" x14ac:dyDescent="0.3">
      <c r="A17" s="1" t="s">
        <v>33</v>
      </c>
      <c r="B17" s="2">
        <v>0</v>
      </c>
      <c r="C17" s="2">
        <v>0</v>
      </c>
      <c r="D17" s="2">
        <v>0</v>
      </c>
      <c r="E17" s="2">
        <v>0</v>
      </c>
      <c r="F17" s="2">
        <v>-1</v>
      </c>
      <c r="H17" s="1">
        <v>14</v>
      </c>
    </row>
    <row r="18" spans="1:14" x14ac:dyDescent="0.3">
      <c r="B18" cm="1">
        <f t="array" ref="B18">SUMPRODUCT(--(B3:B17 = F3:F17))</f>
        <v>1</v>
      </c>
      <c r="C18" cm="1">
        <f t="array" ref="C18">SUMPRODUCT(--(C3:C17 = F3:F17))</f>
        <v>3</v>
      </c>
      <c r="D18" cm="1">
        <f t="array" ref="D18">SUMPRODUCT(--(D3:D17 = F3:F17))</f>
        <v>7</v>
      </c>
      <c r="E18" cm="1">
        <f t="array" ref="E18">SUMPRODUCT(--(E3:E17 = F3:F17))</f>
        <v>0</v>
      </c>
      <c r="F18">
        <f>SUM(B18:E18)</f>
        <v>11</v>
      </c>
    </row>
    <row r="19" spans="1:14" x14ac:dyDescent="0.3">
      <c r="B19">
        <f>AVERAGE(B3:B16)</f>
        <v>151.84291678857144</v>
      </c>
      <c r="C19">
        <f t="shared" ref="C19:E19" si="1">AVERAGE(C3:C16)</f>
        <v>148.76864221214285</v>
      </c>
      <c r="D19">
        <f t="shared" si="1"/>
        <v>132.70466012285718</v>
      </c>
      <c r="E19">
        <f t="shared" si="1"/>
        <v>563.13946165428558</v>
      </c>
      <c r="H19" t="s">
        <v>44</v>
      </c>
      <c r="I19">
        <f t="shared" ref="I19:N19" si="2">COUNTIF(I3:I16, "&lt;0.001")</f>
        <v>10</v>
      </c>
      <c r="J19">
        <f t="shared" si="2"/>
        <v>1</v>
      </c>
      <c r="K19">
        <f t="shared" si="2"/>
        <v>8</v>
      </c>
      <c r="L19">
        <f t="shared" si="2"/>
        <v>8</v>
      </c>
      <c r="M19">
        <f t="shared" si="2"/>
        <v>11</v>
      </c>
      <c r="N19">
        <f t="shared" si="2"/>
        <v>10</v>
      </c>
    </row>
    <row r="20" spans="1:14" x14ac:dyDescent="0.3">
      <c r="H20" t="s">
        <v>45</v>
      </c>
      <c r="I20">
        <f t="shared" ref="I20:N20" si="3">COUNTIF(I3:I17, "&lt;0.0083")-I19</f>
        <v>1</v>
      </c>
      <c r="J20">
        <f t="shared" si="3"/>
        <v>0</v>
      </c>
      <c r="K20">
        <f t="shared" si="3"/>
        <v>0</v>
      </c>
      <c r="L20">
        <f t="shared" si="3"/>
        <v>0</v>
      </c>
      <c r="M20">
        <f t="shared" si="3"/>
        <v>0</v>
      </c>
      <c r="N20">
        <f t="shared" si="3"/>
        <v>0</v>
      </c>
    </row>
    <row r="21" spans="1:14" x14ac:dyDescent="0.3">
      <c r="H21" s="7" t="s">
        <v>46</v>
      </c>
      <c r="I21">
        <f t="shared" ref="I21:N21" si="4">COUNTIF(I3:I17, "&gt;=0.0083")</f>
        <v>0</v>
      </c>
      <c r="J21">
        <f t="shared" si="4"/>
        <v>10</v>
      </c>
      <c r="K21">
        <f t="shared" si="4"/>
        <v>3</v>
      </c>
      <c r="L21">
        <f t="shared" si="4"/>
        <v>3</v>
      </c>
      <c r="M21">
        <f t="shared" si="4"/>
        <v>0</v>
      </c>
      <c r="N21">
        <f t="shared" si="4"/>
        <v>1</v>
      </c>
    </row>
    <row r="22" spans="1:14" x14ac:dyDescent="0.3">
      <c r="A22" t="s">
        <v>42</v>
      </c>
    </row>
    <row r="23" spans="1:14" x14ac:dyDescent="0.3">
      <c r="B23" s="1" t="s">
        <v>4</v>
      </c>
      <c r="C23" s="1" t="s">
        <v>5</v>
      </c>
      <c r="D23" s="1" t="s">
        <v>6</v>
      </c>
      <c r="E23" s="1" t="s">
        <v>7</v>
      </c>
    </row>
    <row r="24" spans="1:14" x14ac:dyDescent="0.3">
      <c r="A24" s="1" t="s">
        <v>19</v>
      </c>
      <c r="B24">
        <v>0</v>
      </c>
      <c r="C24">
        <v>0</v>
      </c>
      <c r="D24">
        <v>0</v>
      </c>
      <c r="E24">
        <v>0</v>
      </c>
    </row>
    <row r="25" spans="1:14" x14ac:dyDescent="0.3">
      <c r="A25" s="1" t="s">
        <v>20</v>
      </c>
      <c r="B25">
        <v>0</v>
      </c>
      <c r="C25">
        <v>0</v>
      </c>
      <c r="D25">
        <v>0</v>
      </c>
      <c r="E25">
        <v>0</v>
      </c>
    </row>
    <row r="26" spans="1:14" x14ac:dyDescent="0.3">
      <c r="A26" s="1" t="s">
        <v>21</v>
      </c>
      <c r="B26">
        <v>0</v>
      </c>
      <c r="C26">
        <v>0</v>
      </c>
      <c r="D26">
        <v>0</v>
      </c>
      <c r="E26">
        <v>0</v>
      </c>
    </row>
    <row r="27" spans="1:14" x14ac:dyDescent="0.3">
      <c r="A27" s="1" t="s">
        <v>22</v>
      </c>
      <c r="B27">
        <v>5.3741866700000003</v>
      </c>
      <c r="C27">
        <v>0.97242288499999996</v>
      </c>
      <c r="D27">
        <v>31.875592489999999</v>
      </c>
      <c r="E27">
        <v>565.16269997999996</v>
      </c>
    </row>
    <row r="28" spans="1:14" x14ac:dyDescent="0.3">
      <c r="A28" s="1" t="s">
        <v>23</v>
      </c>
      <c r="B28">
        <v>880.26488400000005</v>
      </c>
      <c r="C28">
        <v>857.15893600000004</v>
      </c>
      <c r="D28">
        <v>923.39398189999997</v>
      </c>
      <c r="E28">
        <v>584.18367751000005</v>
      </c>
    </row>
    <row r="29" spans="1:14" x14ac:dyDescent="0.3">
      <c r="A29" s="1" t="s">
        <v>24</v>
      </c>
      <c r="B29">
        <v>106.772548</v>
      </c>
      <c r="C29">
        <v>118.675325</v>
      </c>
      <c r="D29">
        <v>51.637523459999997</v>
      </c>
      <c r="E29">
        <v>583.21568635999995</v>
      </c>
    </row>
    <row r="30" spans="1:14" x14ac:dyDescent="0.3">
      <c r="A30" s="1" t="s">
        <v>25</v>
      </c>
      <c r="B30">
        <v>140.31308999999999</v>
      </c>
      <c r="C30">
        <v>238.639005</v>
      </c>
      <c r="D30">
        <v>441.22448990999999</v>
      </c>
      <c r="E30">
        <v>546.55324040999994</v>
      </c>
    </row>
    <row r="31" spans="1:14" x14ac:dyDescent="0.3">
      <c r="A31" s="1" t="s">
        <v>26</v>
      </c>
      <c r="B31">
        <v>40.310687899999998</v>
      </c>
      <c r="C31">
        <v>34.627429999999997</v>
      </c>
      <c r="D31">
        <v>78.811567190000005</v>
      </c>
      <c r="E31">
        <v>467.90995206999997</v>
      </c>
    </row>
    <row r="32" spans="1:14" x14ac:dyDescent="0.3">
      <c r="A32" s="1" t="s">
        <v>27</v>
      </c>
      <c r="B32">
        <v>9.2446883999999994</v>
      </c>
      <c r="C32">
        <v>5.0047355900000001</v>
      </c>
      <c r="D32">
        <v>65.406695060000004</v>
      </c>
      <c r="E32">
        <v>327.66313502000003</v>
      </c>
    </row>
    <row r="33" spans="1:5" x14ac:dyDescent="0.3">
      <c r="A33" s="1" t="s">
        <v>28</v>
      </c>
      <c r="B33">
        <v>19.706526400000001</v>
      </c>
      <c r="C33">
        <v>17.5303656</v>
      </c>
      <c r="D33">
        <v>91.92171759</v>
      </c>
      <c r="E33">
        <v>295.77404751</v>
      </c>
    </row>
    <row r="34" spans="1:5" x14ac:dyDescent="0.3">
      <c r="A34" s="1" t="s">
        <v>29</v>
      </c>
      <c r="B34">
        <v>7.3068459600000004</v>
      </c>
      <c r="C34">
        <v>8.0839100199999994</v>
      </c>
      <c r="D34">
        <v>98.795271690000007</v>
      </c>
      <c r="E34">
        <v>393.56610010000003</v>
      </c>
    </row>
    <row r="35" spans="1:5" x14ac:dyDescent="0.3">
      <c r="A35" s="1" t="s">
        <v>30</v>
      </c>
      <c r="B35">
        <v>0.60133165799999999</v>
      </c>
      <c r="C35">
        <v>0.66962634099999996</v>
      </c>
      <c r="D35">
        <v>104.82713161</v>
      </c>
      <c r="E35">
        <v>432.4219238</v>
      </c>
    </row>
    <row r="36" spans="1:5" x14ac:dyDescent="0.3">
      <c r="A36" s="1" t="s">
        <v>31</v>
      </c>
      <c r="B36">
        <v>38.169940099999998</v>
      </c>
      <c r="C36">
        <v>42.276983899999998</v>
      </c>
      <c r="D36">
        <v>26.258874299999999</v>
      </c>
      <c r="E36">
        <v>465.18870386999998</v>
      </c>
    </row>
    <row r="37" spans="1:5" x14ac:dyDescent="0.3">
      <c r="A37" s="1" t="s">
        <v>32</v>
      </c>
      <c r="B37">
        <v>8.8970717300000004</v>
      </c>
      <c r="C37">
        <v>8.2486085399999993</v>
      </c>
      <c r="D37">
        <v>10.91082763</v>
      </c>
      <c r="E37">
        <v>499.90908313</v>
      </c>
    </row>
    <row r="38" spans="1:5" x14ac:dyDescent="0.3">
      <c r="A38" s="1" t="s">
        <v>33</v>
      </c>
      <c r="B38">
        <v>0</v>
      </c>
      <c r="C38">
        <v>0</v>
      </c>
      <c r="D38">
        <v>0</v>
      </c>
      <c r="E38">
        <v>0</v>
      </c>
    </row>
    <row r="39" spans="1:5" x14ac:dyDescent="0.3">
      <c r="B39">
        <f>AVERAGE(B27:B37)</f>
        <v>114.26925461981818</v>
      </c>
      <c r="C39">
        <f t="shared" ref="C39:E39" si="5">AVERAGE(C27:C37)</f>
        <v>121.08066807963638</v>
      </c>
      <c r="D39">
        <f t="shared" si="5"/>
        <v>175.00578843909091</v>
      </c>
      <c r="E39">
        <f t="shared" si="5"/>
        <v>469.23165906909088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Structural Fidelity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Prajwal Agrawal</cp:lastModifiedBy>
  <dcterms:created xsi:type="dcterms:W3CDTF">2026-02-15T00:40:28Z</dcterms:created>
  <dcterms:modified xsi:type="dcterms:W3CDTF">2026-02-15T01:13:03Z</dcterms:modified>
</cp:coreProperties>
</file>